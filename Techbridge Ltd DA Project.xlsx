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osper\OneDrive\Desktop\My Data Analysis Projects\"/>
    </mc:Choice>
  </mc:AlternateContent>
  <xr:revisionPtr revIDLastSave="0" documentId="13_ncr:1_{D5729276-5C5C-414B-BC0E-73F03AACC7DB}" xr6:coauthVersionLast="47" xr6:coauthVersionMax="47" xr10:uidLastSave="{00000000-0000-0000-0000-000000000000}"/>
  <bookViews>
    <workbookView xWindow="-108" yWindow="-108" windowWidth="23256" windowHeight="12456" tabRatio="938" xr2:uid="{00000000-000D-0000-FFFF-FFFF00000000}"/>
  </bookViews>
  <sheets>
    <sheet name="Dashboard" sheetId="9" r:id="rId1"/>
    <sheet name="Analysis" sheetId="7" r:id="rId2"/>
    <sheet name="Pivot Table" sheetId="8" r:id="rId3"/>
    <sheet name="Clean Raw Data" sheetId="5" r:id="rId4"/>
    <sheet name="Clean Calc Table" sheetId="6" r:id="rId5"/>
    <sheet name="📋 TASK_BRIEF" sheetId="1" r:id="rId6"/>
    <sheet name="LOOKUP_TABLES" sheetId="3" r:id="rId7"/>
    <sheet name="RAW_DATA" sheetId="2" r:id="rId8"/>
    <sheet name="CALC_TABLE" sheetId="4" r:id="rId9"/>
  </sheets>
  <definedNames>
    <definedName name="_xlnm._FilterDatabase" localSheetId="7" hidden="1">RAW_DATA!$A$1:$M$1</definedName>
    <definedName name="_xlcn.WorksheetConnection_TechBridge_Nigeria_Practice_Dataset.xlsxTable11" hidden="1">Table1[]</definedName>
    <definedName name="Slicer_Date_Hierarchy">#N/A</definedName>
    <definedName name="Slicer_Region">#N/A</definedName>
    <definedName name="Slicer_Status">#N/A</definedName>
  </definedNames>
  <calcPr calcId="191029" iterateDelta="1E-4"/>
  <pivotCaches>
    <pivotCache cacheId="181" r:id="rId10"/>
    <pivotCache cacheId="184" r:id="rId11"/>
    <pivotCache cacheId="187" r:id="rId12"/>
    <pivotCache cacheId="190" r:id="rId13"/>
    <pivotCache cacheId="193" r:id="rId14"/>
    <pivotCache cacheId="196" r:id="rId15"/>
    <pivotCache cacheId="199" r:id="rId16"/>
    <pivotCache cacheId="202" r:id="rId17"/>
    <pivotCache cacheId="205" r:id="rId18"/>
    <pivotCache cacheId="208" r:id="rId19"/>
    <pivotCache cacheId="211" r:id="rId20"/>
    <pivotCache cacheId="214" r:id="rId21"/>
    <pivotCache cacheId="217" r:id="rId22"/>
    <pivotCache cacheId="299" r:id="rId23"/>
    <pivotCache cacheId="317" r:id="rId24"/>
    <pivotCache cacheId="326" r:id="rId25"/>
  </pivotCaches>
  <extLst>
    <ext xmlns:x14="http://schemas.microsoft.com/office/spreadsheetml/2009/9/main" uri="{876F7934-8845-4945-9796-88D515C7AA90}">
      <x14:pivotCaches>
        <pivotCache cacheId="219"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echBridge_Nigeria_Practice_Dataset.xlsx!Table1"/>
          <x15:modelTable id="Calendar" name="Calendar" connection="Connection"/>
        </x15:modelTables>
        <x15:modelRelationships>
          <x15:modelRelationship fromTable="Table1"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7" l="1"/>
  <c r="B4" i="7"/>
  <c r="B3" i="7"/>
  <c r="B2" i="7"/>
  <c r="S9" i="7"/>
  <c r="Q9" i="7"/>
  <c r="O9" i="7"/>
  <c r="M9" i="7"/>
  <c r="K9" i="7"/>
  <c r="I9" i="7"/>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L83" i="5"/>
  <c r="L121" i="5"/>
  <c r="N121" i="5" s="1"/>
  <c r="L148" i="5"/>
  <c r="L162" i="5"/>
  <c r="L243" i="5"/>
  <c r="L403" i="5"/>
  <c r="K155" i="5"/>
  <c r="L155" i="5" s="1"/>
  <c r="K120" i="5"/>
  <c r="L120" i="5" s="1"/>
  <c r="K2" i="5"/>
  <c r="L2" i="5" s="1"/>
  <c r="K3" i="5"/>
  <c r="L3" i="5" s="1"/>
  <c r="K4" i="5"/>
  <c r="L4" i="5" s="1"/>
  <c r="K5" i="5"/>
  <c r="L5" i="5" s="1"/>
  <c r="N5" i="5" s="1"/>
  <c r="K6" i="5"/>
  <c r="L6" i="5" s="1"/>
  <c r="N6" i="5" s="1"/>
  <c r="K7" i="5"/>
  <c r="L7" i="5" s="1"/>
  <c r="N7" i="5" s="1"/>
  <c r="K8" i="5"/>
  <c r="L8" i="5" s="1"/>
  <c r="K9" i="5"/>
  <c r="L9" i="5" s="1"/>
  <c r="K10" i="5"/>
  <c r="L10" i="5" s="1"/>
  <c r="K11" i="5"/>
  <c r="L11" i="5" s="1"/>
  <c r="K12" i="5"/>
  <c r="L12" i="5" s="1"/>
  <c r="K13" i="5"/>
  <c r="L13" i="5" s="1"/>
  <c r="K14" i="5"/>
  <c r="L14" i="5" s="1"/>
  <c r="N14" i="5" s="1"/>
  <c r="K15" i="5"/>
  <c r="L15" i="5" s="1"/>
  <c r="N15" i="5" s="1"/>
  <c r="K16" i="5"/>
  <c r="L16" i="5" s="1"/>
  <c r="K17" i="5"/>
  <c r="L17" i="5" s="1"/>
  <c r="N17" i="5" s="1"/>
  <c r="K18" i="5"/>
  <c r="L18" i="5" s="1"/>
  <c r="K19" i="5"/>
  <c r="L19" i="5" s="1"/>
  <c r="K20" i="5"/>
  <c r="L20" i="5" s="1"/>
  <c r="K21" i="5"/>
  <c r="L21" i="5" s="1"/>
  <c r="N21" i="5" s="1"/>
  <c r="K22" i="5"/>
  <c r="L22" i="5" s="1"/>
  <c r="K23" i="5"/>
  <c r="L23" i="5" s="1"/>
  <c r="N23" i="5" s="1"/>
  <c r="K24" i="5"/>
  <c r="L24" i="5" s="1"/>
  <c r="K25" i="5"/>
  <c r="L25" i="5" s="1"/>
  <c r="K26" i="5"/>
  <c r="L26" i="5" s="1"/>
  <c r="K27" i="5"/>
  <c r="L27" i="5" s="1"/>
  <c r="K28" i="5"/>
  <c r="L28" i="5" s="1"/>
  <c r="K29" i="5"/>
  <c r="L29" i="5" s="1"/>
  <c r="K30" i="5"/>
  <c r="L30" i="5" s="1"/>
  <c r="N30" i="5" s="1"/>
  <c r="K31" i="5"/>
  <c r="L31" i="5" s="1"/>
  <c r="N31" i="5" s="1"/>
  <c r="K32" i="5"/>
  <c r="L32" i="5" s="1"/>
  <c r="N32" i="5" s="1"/>
  <c r="K33" i="5"/>
  <c r="L33" i="5" s="1"/>
  <c r="N33" i="5" s="1"/>
  <c r="K34" i="5"/>
  <c r="L34" i="5" s="1"/>
  <c r="K35" i="5"/>
  <c r="L35" i="5" s="1"/>
  <c r="K36" i="5"/>
  <c r="L36" i="5" s="1"/>
  <c r="K37" i="5"/>
  <c r="L37" i="5" s="1"/>
  <c r="K38" i="5"/>
  <c r="L38" i="5" s="1"/>
  <c r="N38" i="5" s="1"/>
  <c r="K39" i="5"/>
  <c r="L39" i="5" s="1"/>
  <c r="N39" i="5" s="1"/>
  <c r="K40" i="5"/>
  <c r="L40" i="5" s="1"/>
  <c r="K41" i="5"/>
  <c r="L41" i="5" s="1"/>
  <c r="K42" i="5"/>
  <c r="L42" i="5" s="1"/>
  <c r="K43" i="5"/>
  <c r="L43" i="5" s="1"/>
  <c r="K44" i="5"/>
  <c r="L44" i="5" s="1"/>
  <c r="K45" i="5"/>
  <c r="L45" i="5" s="1"/>
  <c r="N45" i="5" s="1"/>
  <c r="K46" i="5"/>
  <c r="L46" i="5" s="1"/>
  <c r="K47" i="5"/>
  <c r="L47" i="5" s="1"/>
  <c r="N47" i="5" s="1"/>
  <c r="K48" i="5"/>
  <c r="L48" i="5" s="1"/>
  <c r="N48" i="5" s="1"/>
  <c r="K49" i="5"/>
  <c r="L49" i="5" s="1"/>
  <c r="N49" i="5" s="1"/>
  <c r="K50" i="5"/>
  <c r="L50" i="5" s="1"/>
  <c r="K51" i="5"/>
  <c r="L51" i="5" s="1"/>
  <c r="K52" i="5"/>
  <c r="L52" i="5" s="1"/>
  <c r="K53" i="5"/>
  <c r="L53" i="5" s="1"/>
  <c r="K54" i="5"/>
  <c r="L54" i="5" s="1"/>
  <c r="K55" i="5"/>
  <c r="L55" i="5" s="1"/>
  <c r="N55" i="5" s="1"/>
  <c r="K56" i="5"/>
  <c r="L56" i="5" s="1"/>
  <c r="N56" i="5" s="1"/>
  <c r="K57" i="5"/>
  <c r="L57" i="5" s="1"/>
  <c r="K58" i="5"/>
  <c r="L58" i="5" s="1"/>
  <c r="K59" i="5"/>
  <c r="L59" i="5" s="1"/>
  <c r="K60" i="5"/>
  <c r="L60" i="5" s="1"/>
  <c r="N60" i="5" s="1"/>
  <c r="K61" i="5"/>
  <c r="L61" i="5" s="1"/>
  <c r="K62" i="5"/>
  <c r="L62" i="5" s="1"/>
  <c r="N62" i="5" s="1"/>
  <c r="K63" i="5"/>
  <c r="L63" i="5" s="1"/>
  <c r="N63" i="5" s="1"/>
  <c r="K64" i="5"/>
  <c r="L64" i="5" s="1"/>
  <c r="N64" i="5" s="1"/>
  <c r="K65" i="5"/>
  <c r="L65" i="5" s="1"/>
  <c r="N65" i="5" s="1"/>
  <c r="K66" i="5"/>
  <c r="L66" i="5" s="1"/>
  <c r="K67" i="5"/>
  <c r="L67" i="5" s="1"/>
  <c r="K68" i="5"/>
  <c r="L68" i="5" s="1"/>
  <c r="K69" i="5"/>
  <c r="L69" i="5" s="1"/>
  <c r="N69" i="5" s="1"/>
  <c r="K70" i="5"/>
  <c r="L70" i="5" s="1"/>
  <c r="K71" i="5"/>
  <c r="L71" i="5" s="1"/>
  <c r="N71" i="5" s="1"/>
  <c r="K72" i="5"/>
  <c r="L72" i="5" s="1"/>
  <c r="K73" i="5"/>
  <c r="L73" i="5" s="1"/>
  <c r="K74" i="5"/>
  <c r="L74" i="5" s="1"/>
  <c r="K75" i="5"/>
  <c r="L75" i="5" s="1"/>
  <c r="K76" i="5"/>
  <c r="L76" i="5" s="1"/>
  <c r="K77" i="5"/>
  <c r="L77" i="5" s="1"/>
  <c r="K78" i="5"/>
  <c r="L78" i="5" s="1"/>
  <c r="K79" i="5"/>
  <c r="L79" i="5" s="1"/>
  <c r="K80" i="5"/>
  <c r="L80" i="5" s="1"/>
  <c r="K81" i="5"/>
  <c r="L81" i="5" s="1"/>
  <c r="N81" i="5" s="1"/>
  <c r="K82" i="5"/>
  <c r="L82" i="5" s="1"/>
  <c r="K84" i="5"/>
  <c r="L84" i="5" s="1"/>
  <c r="K85" i="5"/>
  <c r="L85" i="5" s="1"/>
  <c r="N85" i="5" s="1"/>
  <c r="K86" i="5"/>
  <c r="L86" i="5" s="1"/>
  <c r="N86" i="5" s="1"/>
  <c r="K87" i="5"/>
  <c r="L87" i="5" s="1"/>
  <c r="N87" i="5" s="1"/>
  <c r="K88" i="5"/>
  <c r="L88" i="5" s="1"/>
  <c r="N88" i="5" s="1"/>
  <c r="K89" i="5"/>
  <c r="L89" i="5" s="1"/>
  <c r="K90" i="5"/>
  <c r="L90" i="5" s="1"/>
  <c r="K91" i="5"/>
  <c r="L91" i="5" s="1"/>
  <c r="K92" i="5"/>
  <c r="L92" i="5" s="1"/>
  <c r="K93" i="5"/>
  <c r="L93" i="5" s="1"/>
  <c r="K94" i="5"/>
  <c r="L94" i="5" s="1"/>
  <c r="N94" i="5" s="1"/>
  <c r="O94" i="5" s="1"/>
  <c r="K95" i="5"/>
  <c r="L95" i="5" s="1"/>
  <c r="N95" i="5" s="1"/>
  <c r="O95" i="5" s="1"/>
  <c r="K96" i="5"/>
  <c r="L96" i="5" s="1"/>
  <c r="N96" i="5" s="1"/>
  <c r="K97" i="5"/>
  <c r="L97" i="5" s="1"/>
  <c r="N97" i="5" s="1"/>
  <c r="K98" i="5"/>
  <c r="L98" i="5" s="1"/>
  <c r="K99" i="5"/>
  <c r="L99" i="5" s="1"/>
  <c r="K100" i="5"/>
  <c r="L100" i="5" s="1"/>
  <c r="K101" i="5"/>
  <c r="L101" i="5" s="1"/>
  <c r="K102" i="5"/>
  <c r="L102" i="5" s="1"/>
  <c r="N102" i="5" s="1"/>
  <c r="K103" i="5"/>
  <c r="L103" i="5" s="1"/>
  <c r="N103" i="5" s="1"/>
  <c r="K104" i="5"/>
  <c r="L104" i="5" s="1"/>
  <c r="N104" i="5" s="1"/>
  <c r="K105" i="5"/>
  <c r="L105" i="5" s="1"/>
  <c r="K106" i="5"/>
  <c r="L106" i="5" s="1"/>
  <c r="K107" i="5"/>
  <c r="L107" i="5" s="1"/>
  <c r="K108" i="5"/>
  <c r="L108" i="5" s="1"/>
  <c r="K109" i="5"/>
  <c r="L109" i="5" s="1"/>
  <c r="N109" i="5" s="1"/>
  <c r="K110" i="5"/>
  <c r="L110" i="5" s="1"/>
  <c r="N110" i="5" s="1"/>
  <c r="O110" i="5" s="1"/>
  <c r="K111" i="5"/>
  <c r="L111" i="5" s="1"/>
  <c r="N111" i="5" s="1"/>
  <c r="K112" i="5"/>
  <c r="L112" i="5" s="1"/>
  <c r="N112" i="5" s="1"/>
  <c r="K113" i="5"/>
  <c r="L113" i="5" s="1"/>
  <c r="N113" i="5" s="1"/>
  <c r="K114" i="5"/>
  <c r="L114" i="5" s="1"/>
  <c r="K115" i="5"/>
  <c r="L115" i="5" s="1"/>
  <c r="K116" i="5"/>
  <c r="L116" i="5" s="1"/>
  <c r="K117" i="5"/>
  <c r="L117" i="5" s="1"/>
  <c r="K118" i="5"/>
  <c r="L118" i="5" s="1"/>
  <c r="K119" i="5"/>
  <c r="L119" i="5" s="1"/>
  <c r="K122" i="5"/>
  <c r="L122" i="5" s="1"/>
  <c r="K123" i="5"/>
  <c r="L123" i="5" s="1"/>
  <c r="K124" i="5"/>
  <c r="L124" i="5" s="1"/>
  <c r="K125" i="5"/>
  <c r="L125" i="5" s="1"/>
  <c r="K126" i="5"/>
  <c r="L126" i="5" s="1"/>
  <c r="N126" i="5" s="1"/>
  <c r="K127" i="5"/>
  <c r="L127" i="5" s="1"/>
  <c r="K128" i="5"/>
  <c r="L128" i="5" s="1"/>
  <c r="N128" i="5" s="1"/>
  <c r="K129" i="5"/>
  <c r="L129" i="5" s="1"/>
  <c r="N129" i="5" s="1"/>
  <c r="K130" i="5"/>
  <c r="L130" i="5" s="1"/>
  <c r="K131" i="5"/>
  <c r="L131" i="5" s="1"/>
  <c r="K132" i="5"/>
  <c r="L132" i="5" s="1"/>
  <c r="K133" i="5"/>
  <c r="L133" i="5" s="1"/>
  <c r="K134" i="5"/>
  <c r="L134" i="5" s="1"/>
  <c r="N134" i="5" s="1"/>
  <c r="K135" i="5"/>
  <c r="L135" i="5" s="1"/>
  <c r="N135" i="5" s="1"/>
  <c r="K136" i="5"/>
  <c r="L136" i="5" s="1"/>
  <c r="N136" i="5" s="1"/>
  <c r="K137" i="5"/>
  <c r="L137" i="5" s="1"/>
  <c r="K138" i="5"/>
  <c r="L138" i="5" s="1"/>
  <c r="K139" i="5"/>
  <c r="L139" i="5" s="1"/>
  <c r="K140" i="5"/>
  <c r="L140" i="5" s="1"/>
  <c r="K141" i="5"/>
  <c r="L141" i="5" s="1"/>
  <c r="K142" i="5"/>
  <c r="L142" i="5" s="1"/>
  <c r="N142" i="5" s="1"/>
  <c r="K143" i="5"/>
  <c r="L143" i="5" s="1"/>
  <c r="N143" i="5" s="1"/>
  <c r="O143" i="5" s="1"/>
  <c r="K144" i="5"/>
  <c r="L144" i="5" s="1"/>
  <c r="N144" i="5" s="1"/>
  <c r="O144" i="5" s="1"/>
  <c r="K145" i="5"/>
  <c r="L145" i="5" s="1"/>
  <c r="N145" i="5" s="1"/>
  <c r="O145" i="5" s="1"/>
  <c r="K146" i="5"/>
  <c r="L146" i="5" s="1"/>
  <c r="K147" i="5"/>
  <c r="L147" i="5" s="1"/>
  <c r="K149" i="5"/>
  <c r="L149" i="5" s="1"/>
  <c r="K150" i="5"/>
  <c r="L150" i="5" s="1"/>
  <c r="N150" i="5" s="1"/>
  <c r="K151" i="5"/>
  <c r="L151" i="5" s="1"/>
  <c r="N151" i="5" s="1"/>
  <c r="K152" i="5"/>
  <c r="L152" i="5" s="1"/>
  <c r="N152" i="5" s="1"/>
  <c r="K153" i="5"/>
  <c r="L153" i="5" s="1"/>
  <c r="N153" i="5" s="1"/>
  <c r="K154" i="5"/>
  <c r="L154" i="5" s="1"/>
  <c r="K156" i="5"/>
  <c r="L156" i="5" s="1"/>
  <c r="K157" i="5"/>
  <c r="L157" i="5" s="1"/>
  <c r="K158" i="5"/>
  <c r="L158" i="5" s="1"/>
  <c r="K159" i="5"/>
  <c r="L159" i="5" s="1"/>
  <c r="N159" i="5" s="1"/>
  <c r="K160" i="5"/>
  <c r="L160" i="5" s="1"/>
  <c r="N160" i="5" s="1"/>
  <c r="K161" i="5"/>
  <c r="L161" i="5" s="1"/>
  <c r="N161" i="5" s="1"/>
  <c r="K163" i="5"/>
  <c r="L163" i="5" s="1"/>
  <c r="K164" i="5"/>
  <c r="L164" i="5" s="1"/>
  <c r="K165" i="5"/>
  <c r="L165" i="5" s="1"/>
  <c r="K166" i="5"/>
  <c r="L166" i="5" s="1"/>
  <c r="K167" i="5"/>
  <c r="L167" i="5" s="1"/>
  <c r="K168" i="5"/>
  <c r="L168" i="5" s="1"/>
  <c r="N168" i="5" s="1"/>
  <c r="K169" i="5"/>
  <c r="L169" i="5" s="1"/>
  <c r="N169" i="5" s="1"/>
  <c r="K170" i="5"/>
  <c r="L170" i="5" s="1"/>
  <c r="K171" i="5"/>
  <c r="L171" i="5" s="1"/>
  <c r="K172" i="5"/>
  <c r="L172" i="5" s="1"/>
  <c r="K173" i="5"/>
  <c r="L173" i="5" s="1"/>
  <c r="K174" i="5"/>
  <c r="L174" i="5" s="1"/>
  <c r="K175" i="5"/>
  <c r="L175" i="5" s="1"/>
  <c r="K176" i="5"/>
  <c r="L176" i="5" s="1"/>
  <c r="N176" i="5" s="1"/>
  <c r="K177" i="5"/>
  <c r="L177" i="5" s="1"/>
  <c r="N177" i="5" s="1"/>
  <c r="O177" i="5" s="1"/>
  <c r="K178" i="5"/>
  <c r="L178" i="5" s="1"/>
  <c r="K179" i="5"/>
  <c r="L179" i="5" s="1"/>
  <c r="K180" i="5"/>
  <c r="L180" i="5" s="1"/>
  <c r="K181" i="5"/>
  <c r="L181" i="5" s="1"/>
  <c r="K182" i="5"/>
  <c r="L182" i="5" s="1"/>
  <c r="K183" i="5"/>
  <c r="L183" i="5" s="1"/>
  <c r="K184" i="5"/>
  <c r="L184" i="5" s="1"/>
  <c r="N184" i="5" s="1"/>
  <c r="K185" i="5"/>
  <c r="L185" i="5" s="1"/>
  <c r="N185" i="5" s="1"/>
  <c r="O185" i="5" s="1"/>
  <c r="L186" i="5"/>
  <c r="K187" i="5"/>
  <c r="L187" i="5" s="1"/>
  <c r="K188" i="5"/>
  <c r="L188" i="5" s="1"/>
  <c r="K189" i="5"/>
  <c r="L189" i="5" s="1"/>
  <c r="K190" i="5"/>
  <c r="L190" i="5" s="1"/>
  <c r="K191" i="5"/>
  <c r="L191" i="5" s="1"/>
  <c r="K192" i="5"/>
  <c r="L192" i="5" s="1"/>
  <c r="N192" i="5" s="1"/>
  <c r="K193" i="5"/>
  <c r="L193" i="5" s="1"/>
  <c r="K194" i="5"/>
  <c r="L194" i="5" s="1"/>
  <c r="K195" i="5"/>
  <c r="L195" i="5" s="1"/>
  <c r="K196" i="5"/>
  <c r="L196" i="5" s="1"/>
  <c r="K197" i="5"/>
  <c r="L197" i="5" s="1"/>
  <c r="K198" i="5"/>
  <c r="L198" i="5" s="1"/>
  <c r="K199" i="5"/>
  <c r="L199" i="5" s="1"/>
  <c r="K200" i="5"/>
  <c r="L200" i="5" s="1"/>
  <c r="N200" i="5" s="1"/>
  <c r="K201" i="5"/>
  <c r="L201" i="5" s="1"/>
  <c r="N201" i="5" s="1"/>
  <c r="K202" i="5"/>
  <c r="L202" i="5" s="1"/>
  <c r="K203" i="5"/>
  <c r="L203" i="5" s="1"/>
  <c r="K204" i="5"/>
  <c r="L204" i="5" s="1"/>
  <c r="K205" i="5"/>
  <c r="L205" i="5" s="1"/>
  <c r="K206" i="5"/>
  <c r="L206" i="5" s="1"/>
  <c r="K207" i="5"/>
  <c r="L207" i="5" s="1"/>
  <c r="K208" i="5"/>
  <c r="L208" i="5" s="1"/>
  <c r="N208" i="5" s="1"/>
  <c r="K209" i="5"/>
  <c r="L209" i="5" s="1"/>
  <c r="N209" i="5" s="1"/>
  <c r="K210" i="5"/>
  <c r="L210" i="5" s="1"/>
  <c r="K211" i="5"/>
  <c r="L211" i="5" s="1"/>
  <c r="K212" i="5"/>
  <c r="L212" i="5" s="1"/>
  <c r="K213" i="5"/>
  <c r="L213" i="5" s="1"/>
  <c r="K214" i="5"/>
  <c r="L214" i="5" s="1"/>
  <c r="K215" i="5"/>
  <c r="L215" i="5" s="1"/>
  <c r="K216" i="5"/>
  <c r="L216" i="5" s="1"/>
  <c r="N216" i="5" s="1"/>
  <c r="K217" i="5"/>
  <c r="L217" i="5" s="1"/>
  <c r="N217" i="5" s="1"/>
  <c r="K218" i="5"/>
  <c r="L218" i="5" s="1"/>
  <c r="K219" i="5"/>
  <c r="L219" i="5" s="1"/>
  <c r="K220" i="5"/>
  <c r="L220" i="5" s="1"/>
  <c r="K221" i="5"/>
  <c r="L221" i="5" s="1"/>
  <c r="K222" i="5"/>
  <c r="L222" i="5" s="1"/>
  <c r="K223" i="5"/>
  <c r="L223" i="5" s="1"/>
  <c r="K224" i="5"/>
  <c r="L224" i="5" s="1"/>
  <c r="N224" i="5" s="1"/>
  <c r="K225" i="5"/>
  <c r="L225" i="5" s="1"/>
  <c r="N225" i="5" s="1"/>
  <c r="K226" i="5"/>
  <c r="L226" i="5" s="1"/>
  <c r="K227" i="5"/>
  <c r="L227" i="5" s="1"/>
  <c r="K228" i="5"/>
  <c r="L228" i="5" s="1"/>
  <c r="K229" i="5"/>
  <c r="L229" i="5" s="1"/>
  <c r="K230" i="5"/>
  <c r="L230" i="5" s="1"/>
  <c r="K231" i="5"/>
  <c r="L231" i="5" s="1"/>
  <c r="K232" i="5"/>
  <c r="L232" i="5" s="1"/>
  <c r="N232" i="5" s="1"/>
  <c r="K233" i="5"/>
  <c r="L233" i="5" s="1"/>
  <c r="N233" i="5" s="1"/>
  <c r="O233" i="5" s="1"/>
  <c r="K234" i="5"/>
  <c r="L234" i="5" s="1"/>
  <c r="K235" i="5"/>
  <c r="L235" i="5" s="1"/>
  <c r="K236" i="5"/>
  <c r="L236" i="5" s="1"/>
  <c r="K237" i="5"/>
  <c r="L237" i="5" s="1"/>
  <c r="K238" i="5"/>
  <c r="L238" i="5" s="1"/>
  <c r="K239" i="5"/>
  <c r="L239" i="5" s="1"/>
  <c r="K240" i="5"/>
  <c r="L240" i="5" s="1"/>
  <c r="N240" i="5" s="1"/>
  <c r="K241" i="5"/>
  <c r="L241" i="5" s="1"/>
  <c r="N241" i="5" s="1"/>
  <c r="K242" i="5"/>
  <c r="L242" i="5" s="1"/>
  <c r="K244" i="5"/>
  <c r="L244" i="5" s="1"/>
  <c r="N244" i="5" s="1"/>
  <c r="K245" i="5"/>
  <c r="L245" i="5" s="1"/>
  <c r="N245" i="5" s="1"/>
  <c r="K246" i="5"/>
  <c r="L246" i="5" s="1"/>
  <c r="N246" i="5" s="1"/>
  <c r="K247" i="5"/>
  <c r="L247" i="5" s="1"/>
  <c r="K248" i="5"/>
  <c r="L248" i="5" s="1"/>
  <c r="K249" i="5"/>
  <c r="L249" i="5" s="1"/>
  <c r="N249" i="5" s="1"/>
  <c r="K250" i="5"/>
  <c r="L250" i="5" s="1"/>
  <c r="K251" i="5"/>
  <c r="L251" i="5" s="1"/>
  <c r="K252" i="5"/>
  <c r="L252" i="5" s="1"/>
  <c r="K253" i="5"/>
  <c r="L253" i="5" s="1"/>
  <c r="K254" i="5"/>
  <c r="L254" i="5" s="1"/>
  <c r="K255" i="5"/>
  <c r="L255" i="5" s="1"/>
  <c r="K256" i="5"/>
  <c r="L256" i="5" s="1"/>
  <c r="N256" i="5" s="1"/>
  <c r="K257" i="5"/>
  <c r="L257" i="5" s="1"/>
  <c r="N257" i="5" s="1"/>
  <c r="K258" i="5"/>
  <c r="L258" i="5" s="1"/>
  <c r="K259" i="5"/>
  <c r="L259" i="5" s="1"/>
  <c r="K260" i="5"/>
  <c r="L260" i="5" s="1"/>
  <c r="K261" i="5"/>
  <c r="L261" i="5" s="1"/>
  <c r="K262" i="5"/>
  <c r="L262" i="5" s="1"/>
  <c r="N262" i="5" s="1"/>
  <c r="K263" i="5"/>
  <c r="L263" i="5" s="1"/>
  <c r="K264" i="5"/>
  <c r="L264" i="5" s="1"/>
  <c r="K265" i="5"/>
  <c r="L265" i="5" s="1"/>
  <c r="N265" i="5" s="1"/>
  <c r="K266" i="5"/>
  <c r="L266" i="5" s="1"/>
  <c r="K267" i="5"/>
  <c r="L267" i="5" s="1"/>
  <c r="K268" i="5"/>
  <c r="L268" i="5" s="1"/>
  <c r="K269" i="5"/>
  <c r="L269" i="5" s="1"/>
  <c r="K270" i="5"/>
  <c r="L270" i="5" s="1"/>
  <c r="K271" i="5"/>
  <c r="L271" i="5" s="1"/>
  <c r="N271" i="5" s="1"/>
  <c r="K272" i="5"/>
  <c r="L272" i="5" s="1"/>
  <c r="N272" i="5" s="1"/>
  <c r="K273" i="5"/>
  <c r="L273" i="5" s="1"/>
  <c r="N273" i="5" s="1"/>
  <c r="K274" i="5"/>
  <c r="L274" i="5" s="1"/>
  <c r="K275" i="5"/>
  <c r="L275" i="5" s="1"/>
  <c r="K276" i="5"/>
  <c r="L276" i="5" s="1"/>
  <c r="N276" i="5" s="1"/>
  <c r="K277" i="5"/>
  <c r="L277" i="5" s="1"/>
  <c r="K278" i="5"/>
  <c r="L278" i="5" s="1"/>
  <c r="N278" i="5" s="1"/>
  <c r="K279" i="5"/>
  <c r="L279" i="5" s="1"/>
  <c r="K280" i="5"/>
  <c r="L280" i="5" s="1"/>
  <c r="K281" i="5"/>
  <c r="L281" i="5" s="1"/>
  <c r="N281" i="5" s="1"/>
  <c r="K282" i="5"/>
  <c r="L282" i="5" s="1"/>
  <c r="K283" i="5"/>
  <c r="L283" i="5" s="1"/>
  <c r="K284" i="5"/>
  <c r="L284" i="5" s="1"/>
  <c r="K285" i="5"/>
  <c r="L285" i="5" s="1"/>
  <c r="K286" i="5"/>
  <c r="L286" i="5" s="1"/>
  <c r="K287" i="5"/>
  <c r="L287" i="5" s="1"/>
  <c r="K288" i="5"/>
  <c r="L288" i="5" s="1"/>
  <c r="N288" i="5" s="1"/>
  <c r="K289" i="5"/>
  <c r="L289" i="5" s="1"/>
  <c r="N289" i="5" s="1"/>
  <c r="K290" i="5"/>
  <c r="L290" i="5" s="1"/>
  <c r="K291" i="5"/>
  <c r="L291" i="5" s="1"/>
  <c r="K292" i="5"/>
  <c r="L292" i="5" s="1"/>
  <c r="K293" i="5"/>
  <c r="L293" i="5" s="1"/>
  <c r="K294" i="5"/>
  <c r="L294" i="5" s="1"/>
  <c r="N294" i="5" s="1"/>
  <c r="K295" i="5"/>
  <c r="L295" i="5" s="1"/>
  <c r="K296" i="5"/>
  <c r="L296" i="5" s="1"/>
  <c r="K297" i="5"/>
  <c r="L297" i="5" s="1"/>
  <c r="N297" i="5" s="1"/>
  <c r="K298" i="5"/>
  <c r="L298" i="5" s="1"/>
  <c r="K299" i="5"/>
  <c r="L299" i="5" s="1"/>
  <c r="K300" i="5"/>
  <c r="L300" i="5" s="1"/>
  <c r="N300" i="5" s="1"/>
  <c r="K301" i="5"/>
  <c r="L301" i="5" s="1"/>
  <c r="N301" i="5" s="1"/>
  <c r="K302" i="5"/>
  <c r="L302" i="5" s="1"/>
  <c r="K303" i="5"/>
  <c r="L303" i="5" s="1"/>
  <c r="N303" i="5" s="1"/>
  <c r="K304" i="5"/>
  <c r="L304" i="5" s="1"/>
  <c r="N304" i="5" s="1"/>
  <c r="K305" i="5"/>
  <c r="L305" i="5" s="1"/>
  <c r="N305" i="5" s="1"/>
  <c r="K306" i="5"/>
  <c r="L306" i="5" s="1"/>
  <c r="K307" i="5"/>
  <c r="L307" i="5" s="1"/>
  <c r="K308" i="5"/>
  <c r="L308" i="5" s="1"/>
  <c r="K309" i="5"/>
  <c r="L309" i="5" s="1"/>
  <c r="K310" i="5"/>
  <c r="L310" i="5" s="1"/>
  <c r="N310" i="5" s="1"/>
  <c r="K311" i="5"/>
  <c r="L311" i="5" s="1"/>
  <c r="K312" i="5"/>
  <c r="L312" i="5" s="1"/>
  <c r="K313" i="5"/>
  <c r="L313" i="5" s="1"/>
  <c r="N313" i="5" s="1"/>
  <c r="K314" i="5"/>
  <c r="L314" i="5" s="1"/>
  <c r="K315" i="5"/>
  <c r="L315" i="5" s="1"/>
  <c r="K316" i="5"/>
  <c r="L316" i="5" s="1"/>
  <c r="K317" i="5"/>
  <c r="L317" i="5" s="1"/>
  <c r="K318" i="5"/>
  <c r="L318" i="5" s="1"/>
  <c r="N318" i="5" s="1"/>
  <c r="K319" i="5"/>
  <c r="L319" i="5" s="1"/>
  <c r="K320" i="5"/>
  <c r="L320" i="5" s="1"/>
  <c r="N320" i="5" s="1"/>
  <c r="K321" i="5"/>
  <c r="L321" i="5" s="1"/>
  <c r="N321" i="5" s="1"/>
  <c r="K322" i="5"/>
  <c r="L322" i="5" s="1"/>
  <c r="K323" i="5"/>
  <c r="L323" i="5" s="1"/>
  <c r="K324" i="5"/>
  <c r="L324" i="5" s="1"/>
  <c r="K325" i="5"/>
  <c r="L325" i="5" s="1"/>
  <c r="K326" i="5"/>
  <c r="L326" i="5" s="1"/>
  <c r="N326" i="5" s="1"/>
  <c r="K327" i="5"/>
  <c r="L327" i="5" s="1"/>
  <c r="L328" i="5"/>
  <c r="K329" i="5"/>
  <c r="L329" i="5" s="1"/>
  <c r="N329" i="5" s="1"/>
  <c r="K330" i="5"/>
  <c r="L330" i="5" s="1"/>
  <c r="K331" i="5"/>
  <c r="L331" i="5" s="1"/>
  <c r="K332" i="5"/>
  <c r="L332" i="5" s="1"/>
  <c r="N332" i="5" s="1"/>
  <c r="K333" i="5"/>
  <c r="L333" i="5" s="1"/>
  <c r="N333" i="5" s="1"/>
  <c r="K334" i="5"/>
  <c r="L334" i="5" s="1"/>
  <c r="N334" i="5" s="1"/>
  <c r="K335" i="5"/>
  <c r="L335" i="5" s="1"/>
  <c r="K336" i="5"/>
  <c r="L336" i="5" s="1"/>
  <c r="N336" i="5" s="1"/>
  <c r="K337" i="5"/>
  <c r="L337" i="5" s="1"/>
  <c r="N337" i="5" s="1"/>
  <c r="K338" i="5"/>
  <c r="L338" i="5" s="1"/>
  <c r="K339" i="5"/>
  <c r="L339" i="5" s="1"/>
  <c r="K340" i="5"/>
  <c r="L340" i="5" s="1"/>
  <c r="K341" i="5"/>
  <c r="L341" i="5" s="1"/>
  <c r="K342" i="5"/>
  <c r="L342" i="5" s="1"/>
  <c r="N342" i="5" s="1"/>
  <c r="K343" i="5"/>
  <c r="L343" i="5" s="1"/>
  <c r="K344" i="5"/>
  <c r="L344" i="5" s="1"/>
  <c r="K345" i="5"/>
  <c r="L345" i="5" s="1"/>
  <c r="N345" i="5" s="1"/>
  <c r="K346" i="5"/>
  <c r="L346" i="5" s="1"/>
  <c r="K347" i="5"/>
  <c r="L347" i="5" s="1"/>
  <c r="K348" i="5"/>
  <c r="L348" i="5" s="1"/>
  <c r="K349" i="5"/>
  <c r="L349" i="5" s="1"/>
  <c r="K350" i="5"/>
  <c r="L350" i="5" s="1"/>
  <c r="N350" i="5" s="1"/>
  <c r="K351" i="5"/>
  <c r="L351" i="5" s="1"/>
  <c r="K352" i="5"/>
  <c r="L352" i="5" s="1"/>
  <c r="N352" i="5" s="1"/>
  <c r="K353" i="5"/>
  <c r="L353" i="5" s="1"/>
  <c r="N353" i="5" s="1"/>
  <c r="K354" i="5"/>
  <c r="L354" i="5" s="1"/>
  <c r="K355" i="5"/>
  <c r="L355" i="5" s="1"/>
  <c r="K356" i="5"/>
  <c r="L356" i="5" s="1"/>
  <c r="K357" i="5"/>
  <c r="L357" i="5" s="1"/>
  <c r="K358" i="5"/>
  <c r="L358" i="5" s="1"/>
  <c r="K359" i="5"/>
  <c r="L359" i="5" s="1"/>
  <c r="K360" i="5"/>
  <c r="L360" i="5" s="1"/>
  <c r="K361" i="5"/>
  <c r="L361" i="5" s="1"/>
  <c r="N361" i="5" s="1"/>
  <c r="K362" i="5"/>
  <c r="L362" i="5" s="1"/>
  <c r="K363" i="5"/>
  <c r="L363" i="5" s="1"/>
  <c r="K364" i="5"/>
  <c r="L364" i="5" s="1"/>
  <c r="N364" i="5" s="1"/>
  <c r="K365" i="5"/>
  <c r="L365" i="5" s="1"/>
  <c r="N365" i="5" s="1"/>
  <c r="K366" i="5"/>
  <c r="L366" i="5" s="1"/>
  <c r="N366" i="5" s="1"/>
  <c r="K367" i="5"/>
  <c r="L367" i="5" s="1"/>
  <c r="K368" i="5"/>
  <c r="L368" i="5" s="1"/>
  <c r="N368" i="5" s="1"/>
  <c r="K369" i="5"/>
  <c r="L369" i="5" s="1"/>
  <c r="N369" i="5" s="1"/>
  <c r="K370" i="5"/>
  <c r="L370" i="5" s="1"/>
  <c r="K371" i="5"/>
  <c r="L371" i="5" s="1"/>
  <c r="K372" i="5"/>
  <c r="L372" i="5" s="1"/>
  <c r="K373" i="5"/>
  <c r="L373" i="5" s="1"/>
  <c r="K374" i="5"/>
  <c r="L374" i="5" s="1"/>
  <c r="K375" i="5"/>
  <c r="L375" i="5" s="1"/>
  <c r="K376" i="5"/>
  <c r="L376" i="5" s="1"/>
  <c r="K377" i="5"/>
  <c r="L377" i="5" s="1"/>
  <c r="N377" i="5" s="1"/>
  <c r="K378" i="5"/>
  <c r="L378" i="5" s="1"/>
  <c r="K379" i="5"/>
  <c r="L379" i="5" s="1"/>
  <c r="K380" i="5"/>
  <c r="L380" i="5" s="1"/>
  <c r="K381" i="5"/>
  <c r="L381" i="5" s="1"/>
  <c r="K382" i="5"/>
  <c r="L382" i="5" s="1"/>
  <c r="N382" i="5" s="1"/>
  <c r="K383" i="5"/>
  <c r="L383" i="5" s="1"/>
  <c r="K384" i="5"/>
  <c r="L384" i="5" s="1"/>
  <c r="N384" i="5" s="1"/>
  <c r="K385" i="5"/>
  <c r="L385" i="5" s="1"/>
  <c r="N385" i="5" s="1"/>
  <c r="K386" i="5"/>
  <c r="L386" i="5" s="1"/>
  <c r="K387" i="5"/>
  <c r="L387" i="5" s="1"/>
  <c r="K388" i="5"/>
  <c r="L388" i="5" s="1"/>
  <c r="K389" i="5"/>
  <c r="L389" i="5" s="1"/>
  <c r="K390" i="5"/>
  <c r="L390" i="5" s="1"/>
  <c r="K391" i="5"/>
  <c r="L391" i="5" s="1"/>
  <c r="N391" i="5" s="1"/>
  <c r="K392" i="5"/>
  <c r="L392" i="5" s="1"/>
  <c r="K393" i="5"/>
  <c r="L393" i="5" s="1"/>
  <c r="N393" i="5" s="1"/>
  <c r="K394" i="5"/>
  <c r="L394" i="5" s="1"/>
  <c r="K395" i="5"/>
  <c r="L395" i="5" s="1"/>
  <c r="K396" i="5"/>
  <c r="L396" i="5" s="1"/>
  <c r="N396" i="5" s="1"/>
  <c r="K397" i="5"/>
  <c r="L397" i="5" s="1"/>
  <c r="K398" i="5"/>
  <c r="L398" i="5" s="1"/>
  <c r="N398" i="5" s="1"/>
  <c r="K399" i="5"/>
  <c r="L399" i="5" s="1"/>
  <c r="K400" i="5"/>
  <c r="L400" i="5" s="1"/>
  <c r="N400" i="5" s="1"/>
  <c r="K401" i="5"/>
  <c r="L401" i="5" s="1"/>
  <c r="N401" i="5" s="1"/>
  <c r="K402" i="5"/>
  <c r="L402" i="5" s="1"/>
  <c r="K404" i="5"/>
  <c r="L404" i="5" s="1"/>
  <c r="K405" i="5"/>
  <c r="L405" i="5" s="1"/>
  <c r="K406" i="5"/>
  <c r="L406" i="5" s="1"/>
  <c r="K407" i="5"/>
  <c r="L407" i="5" s="1"/>
  <c r="K408" i="5"/>
  <c r="L408" i="5" s="1"/>
  <c r="K409" i="5"/>
  <c r="L409" i="5" s="1"/>
  <c r="K410" i="5"/>
  <c r="L410" i="5" s="1"/>
  <c r="K411" i="5"/>
  <c r="L411" i="5" s="1"/>
  <c r="K412" i="5"/>
  <c r="L412" i="5" s="1"/>
  <c r="K413" i="5"/>
  <c r="L413" i="5" s="1"/>
  <c r="K414" i="5"/>
  <c r="L414" i="5" s="1"/>
  <c r="N414" i="5" s="1"/>
  <c r="K415" i="5"/>
  <c r="L415" i="5" s="1"/>
  <c r="N415" i="5" s="1"/>
  <c r="K416" i="5"/>
  <c r="L416" i="5" s="1"/>
  <c r="N416" i="5" s="1"/>
  <c r="K417" i="5"/>
  <c r="L417" i="5" s="1"/>
  <c r="N417" i="5" s="1"/>
  <c r="K418" i="5"/>
  <c r="L418" i="5" s="1"/>
  <c r="K419" i="5"/>
  <c r="L419" i="5" s="1"/>
  <c r="K420" i="5"/>
  <c r="L420" i="5" s="1"/>
  <c r="N420" i="5" s="1"/>
  <c r="K421" i="5"/>
  <c r="L421" i="5" s="1"/>
  <c r="N421" i="5" s="1"/>
  <c r="K422" i="5"/>
  <c r="L422" i="5" s="1"/>
  <c r="N422" i="5" s="1"/>
  <c r="K423" i="5"/>
  <c r="L423" i="5" s="1"/>
  <c r="N423" i="5" s="1"/>
  <c r="K424" i="5"/>
  <c r="L424" i="5" s="1"/>
  <c r="K425" i="5"/>
  <c r="L425" i="5" s="1"/>
  <c r="K426" i="5"/>
  <c r="L426" i="5" s="1"/>
  <c r="K427" i="5"/>
  <c r="L427" i="5" s="1"/>
  <c r="K428" i="5"/>
  <c r="L428" i="5" s="1"/>
  <c r="L43"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B17" i="7"/>
  <c r="B16" i="7"/>
  <c r="B15" i="7"/>
  <c r="B14" i="7"/>
  <c r="B13" i="7"/>
  <c r="B12" i="7"/>
  <c r="B11" i="7"/>
  <c r="B10" i="7"/>
  <c r="B9" i="7"/>
  <c r="B8" i="7"/>
  <c r="C52" i="6"/>
  <c r="M50" i="6"/>
  <c r="L50" i="6" s="1"/>
  <c r="G50" i="6"/>
  <c r="H50" i="6" s="1"/>
  <c r="I50" i="6" s="1"/>
  <c r="M49" i="6"/>
  <c r="L49" i="6" s="1"/>
  <c r="G49" i="6"/>
  <c r="H49" i="6" s="1"/>
  <c r="M48" i="6"/>
  <c r="L48" i="6" s="1"/>
  <c r="G48" i="6"/>
  <c r="H48" i="6" s="1"/>
  <c r="M47" i="6"/>
  <c r="L47" i="6" s="1"/>
  <c r="G47" i="6"/>
  <c r="H47" i="6" s="1"/>
  <c r="I47" i="6" s="1"/>
  <c r="J47" i="6" s="1"/>
  <c r="M46" i="6"/>
  <c r="L46" i="6" s="1"/>
  <c r="G46" i="6"/>
  <c r="H46" i="6" s="1"/>
  <c r="M45" i="6"/>
  <c r="L45" i="6" s="1"/>
  <c r="G45" i="6"/>
  <c r="H45" i="6" s="1"/>
  <c r="M44" i="6"/>
  <c r="L44" i="6" s="1"/>
  <c r="G44" i="6"/>
  <c r="H44" i="6" s="1"/>
  <c r="M43" i="6"/>
  <c r="G43" i="6"/>
  <c r="H43" i="6" s="1"/>
  <c r="M42" i="6"/>
  <c r="L42" i="6" s="1"/>
  <c r="G42" i="6"/>
  <c r="H42" i="6" s="1"/>
  <c r="I42" i="6" s="1"/>
  <c r="M41" i="6"/>
  <c r="L41" i="6" s="1"/>
  <c r="G41" i="6"/>
  <c r="H41" i="6" s="1"/>
  <c r="M40" i="6"/>
  <c r="L40" i="6" s="1"/>
  <c r="G40" i="6"/>
  <c r="H40" i="6" s="1"/>
  <c r="M39" i="6"/>
  <c r="L39" i="6" s="1"/>
  <c r="G39" i="6"/>
  <c r="H39" i="6" s="1"/>
  <c r="I39" i="6" s="1"/>
  <c r="J39" i="6" s="1"/>
  <c r="M38" i="6"/>
  <c r="L38" i="6" s="1"/>
  <c r="G38" i="6"/>
  <c r="H38" i="6" s="1"/>
  <c r="I38" i="6" s="1"/>
  <c r="M37" i="6"/>
  <c r="L37" i="6" s="1"/>
  <c r="G37" i="6"/>
  <c r="H37" i="6" s="1"/>
  <c r="M36" i="6"/>
  <c r="L36" i="6" s="1"/>
  <c r="G36" i="6"/>
  <c r="H36" i="6" s="1"/>
  <c r="M35" i="6"/>
  <c r="L35" i="6" s="1"/>
  <c r="G35" i="6"/>
  <c r="H35" i="6" s="1"/>
  <c r="I35" i="6" s="1"/>
  <c r="J35" i="6" s="1"/>
  <c r="M34" i="6"/>
  <c r="L34" i="6" s="1"/>
  <c r="G34" i="6"/>
  <c r="H34" i="6" s="1"/>
  <c r="I34" i="6" s="1"/>
  <c r="M33" i="6"/>
  <c r="L33" i="6" s="1"/>
  <c r="G33" i="6"/>
  <c r="H33" i="6" s="1"/>
  <c r="M32" i="6"/>
  <c r="L32" i="6" s="1"/>
  <c r="G32" i="6"/>
  <c r="H32" i="6" s="1"/>
  <c r="M31" i="6"/>
  <c r="L31" i="6" s="1"/>
  <c r="G31" i="6"/>
  <c r="H31" i="6" s="1"/>
  <c r="I31" i="6" s="1"/>
  <c r="J31" i="6" s="1"/>
  <c r="M30" i="6"/>
  <c r="L30" i="6" s="1"/>
  <c r="G30" i="6"/>
  <c r="H30" i="6" s="1"/>
  <c r="M29" i="6"/>
  <c r="L29" i="6" s="1"/>
  <c r="G29" i="6"/>
  <c r="H29" i="6" s="1"/>
  <c r="M28" i="6"/>
  <c r="L28" i="6" s="1"/>
  <c r="G28" i="6"/>
  <c r="H28" i="6" s="1"/>
  <c r="M27" i="6"/>
  <c r="L27" i="6" s="1"/>
  <c r="G27" i="6"/>
  <c r="H27" i="6" s="1"/>
  <c r="I27" i="6" s="1"/>
  <c r="J27" i="6" s="1"/>
  <c r="M26" i="6"/>
  <c r="L26" i="6" s="1"/>
  <c r="G26" i="6"/>
  <c r="H26" i="6" s="1"/>
  <c r="I26" i="6" s="1"/>
  <c r="M25" i="6"/>
  <c r="L25" i="6" s="1"/>
  <c r="G25" i="6"/>
  <c r="H25" i="6" s="1"/>
  <c r="M24" i="6"/>
  <c r="L24" i="6" s="1"/>
  <c r="G24" i="6"/>
  <c r="H24" i="6" s="1"/>
  <c r="M23" i="6"/>
  <c r="L23" i="6" s="1"/>
  <c r="G23" i="6"/>
  <c r="H23" i="6" s="1"/>
  <c r="M22" i="6"/>
  <c r="L22" i="6" s="1"/>
  <c r="G22" i="6"/>
  <c r="H22" i="6" s="1"/>
  <c r="M21" i="6"/>
  <c r="L21" i="6" s="1"/>
  <c r="G21" i="6"/>
  <c r="H21" i="6" s="1"/>
  <c r="M20" i="6"/>
  <c r="L20" i="6" s="1"/>
  <c r="G20" i="6"/>
  <c r="H20" i="6" s="1"/>
  <c r="I20" i="6" s="1"/>
  <c r="J20" i="6" s="1"/>
  <c r="M19" i="6"/>
  <c r="L19" i="6" s="1"/>
  <c r="G19" i="6"/>
  <c r="H19" i="6" s="1"/>
  <c r="I19" i="6" s="1"/>
  <c r="M18" i="6"/>
  <c r="L18" i="6" s="1"/>
  <c r="G18" i="6"/>
  <c r="H18" i="6" s="1"/>
  <c r="M17" i="6"/>
  <c r="L17" i="6" s="1"/>
  <c r="G17" i="6"/>
  <c r="H17" i="6" s="1"/>
  <c r="M16" i="6"/>
  <c r="L16" i="6" s="1"/>
  <c r="G16" i="6"/>
  <c r="H16" i="6" s="1"/>
  <c r="I16" i="6" s="1"/>
  <c r="J16" i="6" s="1"/>
  <c r="M15" i="6"/>
  <c r="L15" i="6" s="1"/>
  <c r="G15" i="6"/>
  <c r="H15" i="6" s="1"/>
  <c r="I15" i="6" s="1"/>
  <c r="M14" i="6"/>
  <c r="L14" i="6" s="1"/>
  <c r="G14" i="6"/>
  <c r="H14" i="6" s="1"/>
  <c r="M13" i="6"/>
  <c r="L13" i="6" s="1"/>
  <c r="G13" i="6"/>
  <c r="H13" i="6" s="1"/>
  <c r="M12" i="6"/>
  <c r="L12" i="6" s="1"/>
  <c r="G12" i="6"/>
  <c r="H12" i="6" s="1"/>
  <c r="I12" i="6" s="1"/>
  <c r="J12" i="6" s="1"/>
  <c r="M11" i="6"/>
  <c r="L11" i="6" s="1"/>
  <c r="G11" i="6"/>
  <c r="H11" i="6" s="1"/>
  <c r="M10" i="6"/>
  <c r="L10" i="6" s="1"/>
  <c r="G10" i="6"/>
  <c r="H10" i="6" s="1"/>
  <c r="M9" i="6"/>
  <c r="L9" i="6" s="1"/>
  <c r="G9" i="6"/>
  <c r="H9" i="6" s="1"/>
  <c r="M8" i="6"/>
  <c r="L8" i="6" s="1"/>
  <c r="G8" i="6"/>
  <c r="H8" i="6" s="1"/>
  <c r="I8" i="6" s="1"/>
  <c r="J8" i="6" s="1"/>
  <c r="M7" i="6"/>
  <c r="L7" i="6" s="1"/>
  <c r="G7" i="6"/>
  <c r="H7" i="6" s="1"/>
  <c r="I7" i="6" s="1"/>
  <c r="M6" i="6"/>
  <c r="L6" i="6" s="1"/>
  <c r="G6" i="6"/>
  <c r="H6" i="6" s="1"/>
  <c r="M5" i="6"/>
  <c r="L5" i="6" s="1"/>
  <c r="G5" i="6"/>
  <c r="H5" i="6" s="1"/>
  <c r="M4" i="6"/>
  <c r="L4" i="6" s="1"/>
  <c r="G4" i="6"/>
  <c r="H4" i="6" s="1"/>
  <c r="I4" i="6" s="1"/>
  <c r="J4" i="6" s="1"/>
  <c r="M3" i="6"/>
  <c r="L3" i="6" s="1"/>
  <c r="G3" i="6"/>
  <c r="H3" i="6" s="1"/>
  <c r="I3" i="6" s="1"/>
  <c r="M2" i="6"/>
  <c r="L2" i="6" s="1"/>
  <c r="G2" i="6"/>
  <c r="C52" i="4"/>
  <c r="L51" i="4"/>
  <c r="K51" i="4"/>
  <c r="G51" i="4"/>
  <c r="H51" i="4" s="1"/>
  <c r="L50" i="4"/>
  <c r="K50" i="4"/>
  <c r="H50" i="4"/>
  <c r="I50" i="4" s="1"/>
  <c r="G50" i="4"/>
  <c r="L49" i="4"/>
  <c r="K49" i="4"/>
  <c r="G49" i="4"/>
  <c r="H49" i="4" s="1"/>
  <c r="L48" i="4"/>
  <c r="K48" i="4"/>
  <c r="G48" i="4"/>
  <c r="H48" i="4" s="1"/>
  <c r="L47" i="4"/>
  <c r="K47" i="4"/>
  <c r="G47" i="4"/>
  <c r="H47" i="4" s="1"/>
  <c r="L46" i="4"/>
  <c r="K46" i="4"/>
  <c r="H46" i="4"/>
  <c r="G46" i="4"/>
  <c r="L45" i="4"/>
  <c r="K45" i="4"/>
  <c r="G45" i="4"/>
  <c r="H45" i="4" s="1"/>
  <c r="L44" i="4"/>
  <c r="K44" i="4"/>
  <c r="G44" i="4"/>
  <c r="H44" i="4" s="1"/>
  <c r="L43" i="4"/>
  <c r="K43" i="4"/>
  <c r="G43" i="4"/>
  <c r="H43" i="4" s="1"/>
  <c r="L42" i="4"/>
  <c r="K42" i="4"/>
  <c r="H42" i="4"/>
  <c r="G42" i="4"/>
  <c r="L41" i="4"/>
  <c r="K41" i="4"/>
  <c r="G41" i="4"/>
  <c r="H41" i="4" s="1"/>
  <c r="L40" i="4"/>
  <c r="K40" i="4"/>
  <c r="G40" i="4"/>
  <c r="H40" i="4" s="1"/>
  <c r="L39" i="4"/>
  <c r="K39" i="4"/>
  <c r="G39" i="4"/>
  <c r="H39" i="4" s="1"/>
  <c r="L38" i="4"/>
  <c r="K38" i="4"/>
  <c r="H38" i="4"/>
  <c r="G38" i="4"/>
  <c r="L37" i="4"/>
  <c r="K37" i="4"/>
  <c r="G37" i="4"/>
  <c r="H37" i="4" s="1"/>
  <c r="L36" i="4"/>
  <c r="K36" i="4"/>
  <c r="G36" i="4"/>
  <c r="H36" i="4" s="1"/>
  <c r="L35" i="4"/>
  <c r="K35" i="4"/>
  <c r="G35" i="4"/>
  <c r="H35" i="4" s="1"/>
  <c r="L34" i="4"/>
  <c r="K34" i="4"/>
  <c r="H34" i="4"/>
  <c r="G34" i="4"/>
  <c r="L33" i="4"/>
  <c r="K33" i="4"/>
  <c r="G33" i="4"/>
  <c r="H33" i="4" s="1"/>
  <c r="L32" i="4"/>
  <c r="K32" i="4"/>
  <c r="G32" i="4"/>
  <c r="H32" i="4" s="1"/>
  <c r="L31" i="4"/>
  <c r="K31" i="4"/>
  <c r="G31" i="4"/>
  <c r="H31" i="4" s="1"/>
  <c r="L30" i="4"/>
  <c r="K30" i="4"/>
  <c r="H30" i="4"/>
  <c r="G30" i="4"/>
  <c r="L29" i="4"/>
  <c r="K29" i="4"/>
  <c r="G29" i="4"/>
  <c r="H29" i="4" s="1"/>
  <c r="L28" i="4"/>
  <c r="K28" i="4"/>
  <c r="G28" i="4"/>
  <c r="H28" i="4" s="1"/>
  <c r="L27" i="4"/>
  <c r="K27" i="4"/>
  <c r="G27" i="4"/>
  <c r="H27" i="4" s="1"/>
  <c r="L26" i="4"/>
  <c r="K26" i="4"/>
  <c r="H26" i="4"/>
  <c r="G26" i="4"/>
  <c r="L25" i="4"/>
  <c r="K25" i="4"/>
  <c r="G25" i="4"/>
  <c r="H25" i="4" s="1"/>
  <c r="L24" i="4"/>
  <c r="K24" i="4"/>
  <c r="G24" i="4"/>
  <c r="H24" i="4" s="1"/>
  <c r="L23" i="4"/>
  <c r="K23" i="4"/>
  <c r="G23" i="4"/>
  <c r="H23" i="4" s="1"/>
  <c r="L22" i="4"/>
  <c r="K22" i="4"/>
  <c r="H22" i="4"/>
  <c r="I22" i="4" s="1"/>
  <c r="G22" i="4"/>
  <c r="L21" i="4"/>
  <c r="K21" i="4"/>
  <c r="G21" i="4"/>
  <c r="H21" i="4" s="1"/>
  <c r="L20" i="4"/>
  <c r="K20" i="4"/>
  <c r="G20" i="4"/>
  <c r="H20" i="4" s="1"/>
  <c r="L19" i="4"/>
  <c r="K19" i="4"/>
  <c r="G19" i="4"/>
  <c r="H19" i="4" s="1"/>
  <c r="L18" i="4"/>
  <c r="K18" i="4"/>
  <c r="H18" i="4"/>
  <c r="I18" i="4" s="1"/>
  <c r="G18" i="4"/>
  <c r="L17" i="4"/>
  <c r="K17" i="4"/>
  <c r="G17" i="4"/>
  <c r="H17" i="4" s="1"/>
  <c r="L16" i="4"/>
  <c r="K16" i="4"/>
  <c r="G16" i="4"/>
  <c r="H16" i="4" s="1"/>
  <c r="L15" i="4"/>
  <c r="K15" i="4"/>
  <c r="G15" i="4"/>
  <c r="H15" i="4" s="1"/>
  <c r="L14" i="4"/>
  <c r="K14" i="4"/>
  <c r="H14" i="4"/>
  <c r="G14" i="4"/>
  <c r="L13" i="4"/>
  <c r="K13" i="4"/>
  <c r="G13" i="4"/>
  <c r="H13" i="4" s="1"/>
  <c r="L12" i="4"/>
  <c r="K12" i="4"/>
  <c r="G12" i="4"/>
  <c r="H12" i="4" s="1"/>
  <c r="L11" i="4"/>
  <c r="K11" i="4"/>
  <c r="G11" i="4"/>
  <c r="H11" i="4" s="1"/>
  <c r="L10" i="4"/>
  <c r="K10" i="4"/>
  <c r="H10" i="4"/>
  <c r="I10" i="4" s="1"/>
  <c r="G10" i="4"/>
  <c r="L9" i="4"/>
  <c r="K9" i="4"/>
  <c r="G9" i="4"/>
  <c r="H9" i="4" s="1"/>
  <c r="L8" i="4"/>
  <c r="K8" i="4"/>
  <c r="G8" i="4"/>
  <c r="H8" i="4" s="1"/>
  <c r="L7" i="4"/>
  <c r="K7" i="4"/>
  <c r="G7" i="4"/>
  <c r="H7" i="4" s="1"/>
  <c r="L6" i="4"/>
  <c r="K6" i="4"/>
  <c r="H6" i="4"/>
  <c r="I6" i="4" s="1"/>
  <c r="G6" i="4"/>
  <c r="L5" i="4"/>
  <c r="K5" i="4"/>
  <c r="G5" i="4"/>
  <c r="H5" i="4" s="1"/>
  <c r="L4" i="4"/>
  <c r="K4" i="4"/>
  <c r="G4" i="4"/>
  <c r="H4" i="4" s="1"/>
  <c r="L3" i="4"/>
  <c r="K3" i="4"/>
  <c r="G3" i="4"/>
  <c r="H3" i="4" s="1"/>
  <c r="L2" i="4"/>
  <c r="K2" i="4"/>
  <c r="H2" i="4"/>
  <c r="G2" i="4"/>
  <c r="G52" i="4" s="1"/>
  <c r="O256" i="5" l="1"/>
  <c r="A20" i="7"/>
  <c r="O208" i="5"/>
  <c r="O159" i="5"/>
  <c r="O128" i="5"/>
  <c r="O401" i="5"/>
  <c r="O112" i="5"/>
  <c r="O353" i="5"/>
  <c r="O111" i="5"/>
  <c r="O129" i="5"/>
  <c r="N127" i="5"/>
  <c r="O127" i="5" s="1"/>
  <c r="O305" i="5"/>
  <c r="O96" i="5"/>
  <c r="O345" i="5"/>
  <c r="O297" i="5"/>
  <c r="O249" i="5"/>
  <c r="O201" i="5"/>
  <c r="O142" i="5"/>
  <c r="O192" i="5"/>
  <c r="O7" i="5"/>
  <c r="N302" i="5"/>
  <c r="O302" i="5" s="1"/>
  <c r="O377" i="5"/>
  <c r="O329" i="5"/>
  <c r="O281" i="5"/>
  <c r="O225" i="5"/>
  <c r="O176" i="5"/>
  <c r="O65" i="5"/>
  <c r="O422" i="5"/>
  <c r="O6" i="5"/>
  <c r="N193" i="5"/>
  <c r="O193" i="5" s="1"/>
  <c r="O369" i="5"/>
  <c r="O321" i="5"/>
  <c r="O273" i="5"/>
  <c r="O224" i="5"/>
  <c r="O169" i="5"/>
  <c r="O126" i="5"/>
  <c r="O64" i="5"/>
  <c r="N80" i="5"/>
  <c r="O80" i="5" s="1"/>
  <c r="O417" i="5"/>
  <c r="O368" i="5"/>
  <c r="O320" i="5"/>
  <c r="O265" i="5"/>
  <c r="O217" i="5"/>
  <c r="O161" i="5"/>
  <c r="O121" i="5"/>
  <c r="O49" i="5"/>
  <c r="O393" i="5"/>
  <c r="O33" i="5"/>
  <c r="O385" i="5"/>
  <c r="O337" i="5"/>
  <c r="O289" i="5"/>
  <c r="O241" i="5"/>
  <c r="O32" i="5"/>
  <c r="O384" i="5"/>
  <c r="O336" i="5"/>
  <c r="O288" i="5"/>
  <c r="O240" i="5"/>
  <c r="O416" i="5"/>
  <c r="O361" i="5"/>
  <c r="O313" i="5"/>
  <c r="O257" i="5"/>
  <c r="O209" i="5"/>
  <c r="O160" i="5"/>
  <c r="O113" i="5"/>
  <c r="O48" i="5"/>
  <c r="N425" i="5"/>
  <c r="O425" i="5" s="1"/>
  <c r="N409" i="5"/>
  <c r="O409" i="5" s="1"/>
  <c r="N392" i="5"/>
  <c r="O392" i="5" s="1"/>
  <c r="N376" i="5"/>
  <c r="O376" i="5" s="1"/>
  <c r="N360" i="5"/>
  <c r="O360" i="5" s="1"/>
  <c r="N344" i="5"/>
  <c r="O344" i="5" s="1"/>
  <c r="N328" i="5"/>
  <c r="O328" i="5" s="1"/>
  <c r="N312" i="5"/>
  <c r="O312" i="5" s="1"/>
  <c r="N296" i="5"/>
  <c r="O296" i="5" s="1"/>
  <c r="N280" i="5"/>
  <c r="O280" i="5" s="1"/>
  <c r="N264" i="5"/>
  <c r="O264" i="5" s="1"/>
  <c r="N248" i="5"/>
  <c r="O248" i="5"/>
  <c r="N239" i="5"/>
  <c r="O239" i="5" s="1"/>
  <c r="N231" i="5"/>
  <c r="O231" i="5" s="1"/>
  <c r="N223" i="5"/>
  <c r="O223" i="5" s="1"/>
  <c r="N215" i="5"/>
  <c r="O215" i="5" s="1"/>
  <c r="N207" i="5"/>
  <c r="O207" i="5" s="1"/>
  <c r="N199" i="5"/>
  <c r="O199" i="5" s="1"/>
  <c r="N191" i="5"/>
  <c r="O191" i="5" s="1"/>
  <c r="N183" i="5"/>
  <c r="O183" i="5" s="1"/>
  <c r="N175" i="5"/>
  <c r="O175" i="5" s="1"/>
  <c r="N167" i="5"/>
  <c r="O167" i="5" s="1"/>
  <c r="N158" i="5"/>
  <c r="O158" i="5" s="1"/>
  <c r="N149" i="5"/>
  <c r="O149" i="5" s="1"/>
  <c r="N140" i="5"/>
  <c r="O140" i="5" s="1"/>
  <c r="N132" i="5"/>
  <c r="O132" i="5" s="1"/>
  <c r="N124" i="5"/>
  <c r="O124" i="5" s="1"/>
  <c r="N114" i="5"/>
  <c r="O114" i="5" s="1"/>
  <c r="N106" i="5"/>
  <c r="O106" i="5" s="1"/>
  <c r="N98" i="5"/>
  <c r="O98" i="5" s="1"/>
  <c r="N90" i="5"/>
  <c r="O90" i="5" s="1"/>
  <c r="N73" i="5"/>
  <c r="O73" i="5" s="1"/>
  <c r="N57" i="5"/>
  <c r="O57" i="5" s="1"/>
  <c r="N41" i="5"/>
  <c r="O41" i="5" s="1"/>
  <c r="N25" i="5"/>
  <c r="O25" i="5" s="1"/>
  <c r="N9" i="5"/>
  <c r="O9" i="5" s="1"/>
  <c r="N120" i="5"/>
  <c r="O120" i="5" s="1"/>
  <c r="O400" i="5"/>
  <c r="O272" i="5"/>
  <c r="O97" i="5"/>
  <c r="N424" i="5"/>
  <c r="O424" i="5" s="1"/>
  <c r="N408" i="5"/>
  <c r="O408" i="5" s="1"/>
  <c r="N399" i="5"/>
  <c r="O399" i="5" s="1"/>
  <c r="N383" i="5"/>
  <c r="O383" i="5" s="1"/>
  <c r="N367" i="5"/>
  <c r="O367" i="5" s="1"/>
  <c r="N351" i="5"/>
  <c r="O351" i="5" s="1"/>
  <c r="N335" i="5"/>
  <c r="O335" i="5" s="1"/>
  <c r="N319" i="5"/>
  <c r="O319" i="5" s="1"/>
  <c r="N311" i="5"/>
  <c r="O311" i="5" s="1"/>
  <c r="N295" i="5"/>
  <c r="O295" i="5"/>
  <c r="O271" i="5"/>
  <c r="N255" i="5"/>
  <c r="O255" i="5" s="1"/>
  <c r="N238" i="5"/>
  <c r="O238" i="5" s="1"/>
  <c r="N222" i="5"/>
  <c r="O222" i="5" s="1"/>
  <c r="N206" i="5"/>
  <c r="O206" i="5" s="1"/>
  <c r="N190" i="5"/>
  <c r="O190" i="5" s="1"/>
  <c r="N174" i="5"/>
  <c r="O174" i="5" s="1"/>
  <c r="N166" i="5"/>
  <c r="O166" i="5" s="1"/>
  <c r="N157" i="5"/>
  <c r="O157" i="5" s="1"/>
  <c r="N139" i="5"/>
  <c r="O139" i="5" s="1"/>
  <c r="N131" i="5"/>
  <c r="O131" i="5" s="1"/>
  <c r="N123" i="5"/>
  <c r="O123" i="5" s="1"/>
  <c r="N105" i="5"/>
  <c r="O105" i="5" s="1"/>
  <c r="N89" i="5"/>
  <c r="O89" i="5" s="1"/>
  <c r="N72" i="5"/>
  <c r="O72" i="5" s="1"/>
  <c r="O56" i="5"/>
  <c r="N40" i="5"/>
  <c r="O40" i="5" s="1"/>
  <c r="N24" i="5"/>
  <c r="O24" i="5" s="1"/>
  <c r="N155" i="5"/>
  <c r="O155" i="5" s="1"/>
  <c r="N8" i="5"/>
  <c r="O8" i="5" s="1"/>
  <c r="O352" i="5"/>
  <c r="O391" i="5"/>
  <c r="N375" i="5"/>
  <c r="O375" i="5" s="1"/>
  <c r="N359" i="5"/>
  <c r="O359" i="5" s="1"/>
  <c r="N343" i="5"/>
  <c r="O343" i="5" s="1"/>
  <c r="N327" i="5"/>
  <c r="O327" i="5" s="1"/>
  <c r="O303" i="5"/>
  <c r="N287" i="5"/>
  <c r="O287" i="5" s="1"/>
  <c r="N279" i="5"/>
  <c r="O279" i="5" s="1"/>
  <c r="N263" i="5"/>
  <c r="O263" i="5" s="1"/>
  <c r="N247" i="5"/>
  <c r="O247" i="5" s="1"/>
  <c r="N230" i="5"/>
  <c r="O230" i="5" s="1"/>
  <c r="N214" i="5"/>
  <c r="O214" i="5" s="1"/>
  <c r="N198" i="5"/>
  <c r="O198" i="5" s="1"/>
  <c r="N182" i="5"/>
  <c r="O182" i="5" s="1"/>
  <c r="N147" i="5"/>
  <c r="O147" i="5" s="1"/>
  <c r="N16" i="5"/>
  <c r="O16" i="5" s="1"/>
  <c r="O334" i="5"/>
  <c r="O304" i="5"/>
  <c r="O81" i="5"/>
  <c r="O17" i="5"/>
  <c r="N221" i="5"/>
  <c r="O221" i="5" s="1"/>
  <c r="N205" i="5"/>
  <c r="O205" i="5" s="1"/>
  <c r="N189" i="5"/>
  <c r="O189" i="5" s="1"/>
  <c r="N173" i="5"/>
  <c r="O173" i="5" s="1"/>
  <c r="N156" i="5"/>
  <c r="O156" i="5" s="1"/>
  <c r="N130" i="5"/>
  <c r="O130" i="5" s="1"/>
  <c r="N390" i="5"/>
  <c r="O390" i="5" s="1"/>
  <c r="O31" i="5"/>
  <c r="O365" i="5"/>
  <c r="N220" i="5"/>
  <c r="O220" i="5" s="1"/>
  <c r="N196" i="5"/>
  <c r="O196" i="5" s="1"/>
  <c r="N180" i="5"/>
  <c r="O180" i="5" s="1"/>
  <c r="N172" i="5"/>
  <c r="O172" i="5" s="1"/>
  <c r="N154" i="5"/>
  <c r="O154" i="5" s="1"/>
  <c r="O30" i="5"/>
  <c r="O421" i="5"/>
  <c r="N413" i="5"/>
  <c r="O413" i="5" s="1"/>
  <c r="N292" i="5"/>
  <c r="O292" i="5" s="1"/>
  <c r="N252" i="5"/>
  <c r="O252" i="5" s="1"/>
  <c r="O5" i="5"/>
  <c r="N428" i="5"/>
  <c r="O428" i="5" s="1"/>
  <c r="O420" i="5"/>
  <c r="N412" i="5"/>
  <c r="O412" i="5" s="1"/>
  <c r="N404" i="5"/>
  <c r="O404" i="5" s="1"/>
  <c r="N395" i="5"/>
  <c r="O395" i="5" s="1"/>
  <c r="N387" i="5"/>
  <c r="O387" i="5" s="1"/>
  <c r="N379" i="5"/>
  <c r="O379" i="5" s="1"/>
  <c r="N371" i="5"/>
  <c r="O371" i="5" s="1"/>
  <c r="N363" i="5"/>
  <c r="O363" i="5" s="1"/>
  <c r="N355" i="5"/>
  <c r="O355" i="5" s="1"/>
  <c r="N347" i="5"/>
  <c r="O347" i="5" s="1"/>
  <c r="N339" i="5"/>
  <c r="O339" i="5" s="1"/>
  <c r="N331" i="5"/>
  <c r="O331" i="5" s="1"/>
  <c r="N323" i="5"/>
  <c r="O323" i="5" s="1"/>
  <c r="N315" i="5"/>
  <c r="O315" i="5" s="1"/>
  <c r="N307" i="5"/>
  <c r="O307" i="5" s="1"/>
  <c r="N299" i="5"/>
  <c r="O299" i="5" s="1"/>
  <c r="N291" i="5"/>
  <c r="O291" i="5" s="1"/>
  <c r="N283" i="5"/>
  <c r="O283" i="5" s="1"/>
  <c r="N275" i="5"/>
  <c r="O275" i="5" s="1"/>
  <c r="N267" i="5"/>
  <c r="O267" i="5" s="1"/>
  <c r="N259" i="5"/>
  <c r="O259" i="5" s="1"/>
  <c r="N251" i="5"/>
  <c r="O251" i="5" s="1"/>
  <c r="N242" i="5"/>
  <c r="O242" i="5" s="1"/>
  <c r="N234" i="5"/>
  <c r="O234" i="5" s="1"/>
  <c r="N226" i="5"/>
  <c r="O226" i="5" s="1"/>
  <c r="N218" i="5"/>
  <c r="O218" i="5" s="1"/>
  <c r="N210" i="5"/>
  <c r="O210" i="5" s="1"/>
  <c r="N202" i="5"/>
  <c r="O202" i="5" s="1"/>
  <c r="N194" i="5"/>
  <c r="O194" i="5" s="1"/>
  <c r="N186" i="5"/>
  <c r="O186" i="5" s="1"/>
  <c r="N178" i="5"/>
  <c r="O178" i="5" s="1"/>
  <c r="N170" i="5"/>
  <c r="O170" i="5" s="1"/>
  <c r="N117" i="5"/>
  <c r="O117" i="5" s="1"/>
  <c r="O109" i="5"/>
  <c r="N101" i="5"/>
  <c r="O101" i="5" s="1"/>
  <c r="O85" i="5"/>
  <c r="N76" i="5"/>
  <c r="O76" i="5" s="1"/>
  <c r="O60" i="5"/>
  <c r="N52" i="5"/>
  <c r="O52" i="5" s="1"/>
  <c r="N36" i="5"/>
  <c r="O36" i="5" s="1"/>
  <c r="N28" i="5"/>
  <c r="O28" i="5" s="1"/>
  <c r="N12" i="5"/>
  <c r="O12" i="5" s="1"/>
  <c r="N4" i="5"/>
  <c r="O4" i="5" s="1"/>
  <c r="N148" i="5"/>
  <c r="O148" i="5" s="1"/>
  <c r="N407" i="5"/>
  <c r="O407" i="5" s="1"/>
  <c r="N348" i="5"/>
  <c r="O348" i="5" s="1"/>
  <c r="N317" i="5"/>
  <c r="O317" i="5" s="1"/>
  <c r="N286" i="5"/>
  <c r="O286" i="5" s="1"/>
  <c r="O232" i="5"/>
  <c r="O216" i="5"/>
  <c r="O200" i="5"/>
  <c r="O184" i="5"/>
  <c r="O168" i="5"/>
  <c r="O152" i="5"/>
  <c r="O136" i="5"/>
  <c r="O104" i="5"/>
  <c r="O88" i="5"/>
  <c r="N397" i="5"/>
  <c r="O397" i="5" s="1"/>
  <c r="N381" i="5"/>
  <c r="O381" i="5" s="1"/>
  <c r="N341" i="5"/>
  <c r="O341" i="5" s="1"/>
  <c r="N325" i="5"/>
  <c r="O325" i="5" s="1"/>
  <c r="N309" i="5"/>
  <c r="O309" i="5" s="1"/>
  <c r="N293" i="5"/>
  <c r="O293" i="5" s="1"/>
  <c r="N236" i="5"/>
  <c r="O236" i="5" s="1"/>
  <c r="O364" i="5"/>
  <c r="N340" i="5"/>
  <c r="O340" i="5" s="1"/>
  <c r="N324" i="5"/>
  <c r="O324" i="5"/>
  <c r="N308" i="5"/>
  <c r="O308" i="5" s="1"/>
  <c r="N268" i="5"/>
  <c r="O268" i="5" s="1"/>
  <c r="O244" i="5"/>
  <c r="N227" i="5"/>
  <c r="O227" i="5" s="1"/>
  <c r="N219" i="5"/>
  <c r="O219" i="5" s="1"/>
  <c r="N203" i="5"/>
  <c r="O203" i="5" s="1"/>
  <c r="N187" i="5"/>
  <c r="O187" i="5" s="1"/>
  <c r="N171" i="5"/>
  <c r="O171" i="5" s="1"/>
  <c r="O69" i="5"/>
  <c r="O45" i="5"/>
  <c r="O21" i="5"/>
  <c r="N162" i="5"/>
  <c r="O162" i="5" s="1"/>
  <c r="N380" i="5"/>
  <c r="O380" i="5" s="1"/>
  <c r="N46" i="5"/>
  <c r="O46" i="5" s="1"/>
  <c r="N427" i="5"/>
  <c r="O427" i="5" s="1"/>
  <c r="N419" i="5"/>
  <c r="O419" i="5" s="1"/>
  <c r="N411" i="5"/>
  <c r="O411" i="5" s="1"/>
  <c r="N402" i="5"/>
  <c r="O402" i="5" s="1"/>
  <c r="N394" i="5"/>
  <c r="O394" i="5" s="1"/>
  <c r="N386" i="5"/>
  <c r="O386" i="5" s="1"/>
  <c r="N378" i="5"/>
  <c r="O378" i="5" s="1"/>
  <c r="N370" i="5"/>
  <c r="O370" i="5" s="1"/>
  <c r="N362" i="5"/>
  <c r="O362" i="5" s="1"/>
  <c r="N354" i="5"/>
  <c r="O354" i="5" s="1"/>
  <c r="N346" i="5"/>
  <c r="O346" i="5" s="1"/>
  <c r="N338" i="5"/>
  <c r="O338" i="5" s="1"/>
  <c r="N330" i="5"/>
  <c r="O330" i="5" s="1"/>
  <c r="N322" i="5"/>
  <c r="O322" i="5" s="1"/>
  <c r="N314" i="5"/>
  <c r="O314" i="5" s="1"/>
  <c r="N306" i="5"/>
  <c r="O306" i="5" s="1"/>
  <c r="N298" i="5"/>
  <c r="O298" i="5" s="1"/>
  <c r="N290" i="5"/>
  <c r="O290" i="5" s="1"/>
  <c r="N282" i="5"/>
  <c r="O282" i="5" s="1"/>
  <c r="N274" i="5"/>
  <c r="O274" i="5" s="1"/>
  <c r="N266" i="5"/>
  <c r="O266" i="5" s="1"/>
  <c r="N258" i="5"/>
  <c r="O258" i="5" s="1"/>
  <c r="N250" i="5"/>
  <c r="O250" i="5" s="1"/>
  <c r="N116" i="5"/>
  <c r="O116" i="5" s="1"/>
  <c r="N108" i="5"/>
  <c r="O108" i="5" s="1"/>
  <c r="N100" i="5"/>
  <c r="O100" i="5" s="1"/>
  <c r="N92" i="5"/>
  <c r="O92" i="5" s="1"/>
  <c r="N84" i="5"/>
  <c r="O84" i="5" s="1"/>
  <c r="N75" i="5"/>
  <c r="O75" i="5" s="1"/>
  <c r="N67" i="5"/>
  <c r="O67" i="5" s="1"/>
  <c r="N59" i="5"/>
  <c r="O59" i="5" s="1"/>
  <c r="N51" i="5"/>
  <c r="O51" i="5" s="1"/>
  <c r="N43" i="5"/>
  <c r="O43" i="5" s="1"/>
  <c r="N35" i="5"/>
  <c r="O35" i="5" s="1"/>
  <c r="N27" i="5"/>
  <c r="O27" i="5" s="1"/>
  <c r="N19" i="5"/>
  <c r="O19" i="5" s="1"/>
  <c r="N11" i="5"/>
  <c r="O11" i="5" s="1"/>
  <c r="N3" i="5"/>
  <c r="O3" i="5" s="1"/>
  <c r="N406" i="5"/>
  <c r="O406" i="5" s="1"/>
  <c r="N316" i="5"/>
  <c r="O316" i="5" s="1"/>
  <c r="N285" i="5"/>
  <c r="O285" i="5" s="1"/>
  <c r="N254" i="5"/>
  <c r="O254" i="5" s="1"/>
  <c r="N119" i="5"/>
  <c r="O119" i="5" s="1"/>
  <c r="N68" i="5"/>
  <c r="O68" i="5" s="1"/>
  <c r="N44" i="5"/>
  <c r="O44" i="5" s="1"/>
  <c r="N20" i="5"/>
  <c r="O20" i="5" s="1"/>
  <c r="O423" i="5"/>
  <c r="O151" i="5"/>
  <c r="O135" i="5"/>
  <c r="O103" i="5"/>
  <c r="O87" i="5"/>
  <c r="O71" i="5"/>
  <c r="O55" i="5"/>
  <c r="O39" i="5"/>
  <c r="O23" i="5"/>
  <c r="N237" i="5"/>
  <c r="O237" i="5" s="1"/>
  <c r="N229" i="5"/>
  <c r="O229" i="5" s="1"/>
  <c r="N213" i="5"/>
  <c r="O213" i="5" s="1"/>
  <c r="N197" i="5"/>
  <c r="O197" i="5" s="1"/>
  <c r="N181" i="5"/>
  <c r="O181" i="5" s="1"/>
  <c r="N165" i="5"/>
  <c r="O165" i="5" s="1"/>
  <c r="N146" i="5"/>
  <c r="O146" i="5" s="1"/>
  <c r="N138" i="5"/>
  <c r="O138" i="5"/>
  <c r="N122" i="5"/>
  <c r="O122" i="5" s="1"/>
  <c r="N403" i="5"/>
  <c r="O403" i="5" s="1"/>
  <c r="N270" i="5"/>
  <c r="O270" i="5" s="1"/>
  <c r="N79" i="5"/>
  <c r="O79" i="5" s="1"/>
  <c r="O415" i="5"/>
  <c r="O63" i="5"/>
  <c r="O47" i="5"/>
  <c r="O15" i="5"/>
  <c r="N373" i="5"/>
  <c r="O373" i="5" s="1"/>
  <c r="N357" i="5"/>
  <c r="O357" i="5" s="1"/>
  <c r="O333" i="5"/>
  <c r="O301" i="5"/>
  <c r="N277" i="5"/>
  <c r="O277" i="5" s="1"/>
  <c r="N261" i="5"/>
  <c r="O261" i="5" s="1"/>
  <c r="O245" i="5"/>
  <c r="N228" i="5"/>
  <c r="O228" i="5" s="1"/>
  <c r="N212" i="5"/>
  <c r="O212" i="5" s="1"/>
  <c r="N204" i="5"/>
  <c r="O204" i="5" s="1"/>
  <c r="N188" i="5"/>
  <c r="O188" i="5" s="1"/>
  <c r="N164" i="5"/>
  <c r="O164" i="5" s="1"/>
  <c r="N243" i="5"/>
  <c r="O243" i="5" s="1"/>
  <c r="N389" i="5"/>
  <c r="O389" i="5" s="1"/>
  <c r="N358" i="5"/>
  <c r="O358" i="5" s="1"/>
  <c r="N269" i="5"/>
  <c r="O269" i="5" s="1"/>
  <c r="N137" i="5"/>
  <c r="O137" i="5" s="1"/>
  <c r="N78" i="5"/>
  <c r="O78" i="5" s="1"/>
  <c r="N54" i="5"/>
  <c r="O54" i="5" s="1"/>
  <c r="O414" i="5"/>
  <c r="O398" i="5"/>
  <c r="O382" i="5"/>
  <c r="O366" i="5"/>
  <c r="O350" i="5"/>
  <c r="O318" i="5"/>
  <c r="O62" i="5"/>
  <c r="O14" i="5"/>
  <c r="O396" i="5"/>
  <c r="N388" i="5"/>
  <c r="O388" i="5" s="1"/>
  <c r="N372" i="5"/>
  <c r="O372" i="5" s="1"/>
  <c r="N356" i="5"/>
  <c r="O356" i="5" s="1"/>
  <c r="O332" i="5"/>
  <c r="O300" i="5"/>
  <c r="O276" i="5"/>
  <c r="N235" i="5"/>
  <c r="O235" i="5" s="1"/>
  <c r="N211" i="5"/>
  <c r="O211" i="5" s="1"/>
  <c r="N195" i="5"/>
  <c r="O195" i="5" s="1"/>
  <c r="N179" i="5"/>
  <c r="O179" i="5" s="1"/>
  <c r="N163" i="5"/>
  <c r="O163" i="5" s="1"/>
  <c r="N77" i="5"/>
  <c r="O77" i="5" s="1"/>
  <c r="N61" i="5"/>
  <c r="O61" i="5" s="1"/>
  <c r="N53" i="5"/>
  <c r="O53" i="5" s="1"/>
  <c r="N37" i="5"/>
  <c r="O37" i="5" s="1"/>
  <c r="N29" i="5"/>
  <c r="O29" i="5" s="1"/>
  <c r="N13" i="5"/>
  <c r="O13" i="5" s="1"/>
  <c r="N349" i="5"/>
  <c r="O349" i="5" s="1"/>
  <c r="N260" i="5"/>
  <c r="O260" i="5" s="1"/>
  <c r="N70" i="5"/>
  <c r="O70" i="5" s="1"/>
  <c r="N22" i="5"/>
  <c r="O22" i="5" s="1"/>
  <c r="O153" i="5"/>
  <c r="N426" i="5"/>
  <c r="O426" i="5" s="1"/>
  <c r="N418" i="5"/>
  <c r="O418" i="5" s="1"/>
  <c r="N410" i="5"/>
  <c r="O410" i="5" s="1"/>
  <c r="N141" i="5"/>
  <c r="O141" i="5" s="1"/>
  <c r="N133" i="5"/>
  <c r="O133" i="5" s="1"/>
  <c r="N125" i="5"/>
  <c r="O125" i="5" s="1"/>
  <c r="N115" i="5"/>
  <c r="O115" i="5" s="1"/>
  <c r="N107" i="5"/>
  <c r="O107" i="5" s="1"/>
  <c r="N99" i="5"/>
  <c r="O99" i="5" s="1"/>
  <c r="N91" i="5"/>
  <c r="O91" i="5" s="1"/>
  <c r="N82" i="5"/>
  <c r="O82" i="5" s="1"/>
  <c r="N74" i="5"/>
  <c r="O74" i="5" s="1"/>
  <c r="N66" i="5"/>
  <c r="O66" i="5" s="1"/>
  <c r="N58" i="5"/>
  <c r="O58" i="5" s="1"/>
  <c r="N50" i="5"/>
  <c r="O50" i="5" s="1"/>
  <c r="N42" i="5"/>
  <c r="O42" i="5" s="1"/>
  <c r="N34" i="5"/>
  <c r="O34" i="5" s="1"/>
  <c r="N26" i="5"/>
  <c r="O26" i="5" s="1"/>
  <c r="N18" i="5"/>
  <c r="O18" i="5" s="1"/>
  <c r="N10" i="5"/>
  <c r="O10" i="5" s="1"/>
  <c r="N2" i="5"/>
  <c r="N83" i="5"/>
  <c r="O83" i="5" s="1"/>
  <c r="N405" i="5"/>
  <c r="O405" i="5" s="1"/>
  <c r="N374" i="5"/>
  <c r="O374" i="5" s="1"/>
  <c r="N284" i="5"/>
  <c r="O284" i="5" s="1"/>
  <c r="N253" i="5"/>
  <c r="O253" i="5" s="1"/>
  <c r="N118" i="5"/>
  <c r="O118" i="5" s="1"/>
  <c r="N93" i="5"/>
  <c r="O93" i="5" s="1"/>
  <c r="O342" i="5"/>
  <c r="O326" i="5"/>
  <c r="O310" i="5"/>
  <c r="O294" i="5"/>
  <c r="O278" i="5"/>
  <c r="O262" i="5"/>
  <c r="O246" i="5"/>
  <c r="O150" i="5"/>
  <c r="O134" i="5"/>
  <c r="O102" i="5"/>
  <c r="O86" i="5"/>
  <c r="O38" i="5"/>
  <c r="G52" i="6"/>
  <c r="I22" i="6"/>
  <c r="J22" i="6" s="1"/>
  <c r="I18" i="6"/>
  <c r="J18" i="6" s="1"/>
  <c r="I14" i="6"/>
  <c r="J14" i="6" s="1"/>
  <c r="I43" i="6"/>
  <c r="J43" i="6" s="1"/>
  <c r="I10" i="6"/>
  <c r="J10" i="6" s="1"/>
  <c r="I41" i="6"/>
  <c r="J41" i="6" s="1"/>
  <c r="I6" i="6"/>
  <c r="J6" i="6" s="1"/>
  <c r="I37" i="6"/>
  <c r="J37" i="6" s="1"/>
  <c r="I45" i="6"/>
  <c r="J45" i="6" s="1"/>
  <c r="I33" i="6"/>
  <c r="J33" i="6" s="1"/>
  <c r="I49" i="6"/>
  <c r="J49" i="6" s="1"/>
  <c r="I29" i="6"/>
  <c r="J29" i="6" s="1"/>
  <c r="I25" i="6"/>
  <c r="J25" i="6" s="1"/>
  <c r="I11" i="6"/>
  <c r="J11" i="6" s="1"/>
  <c r="I23" i="6"/>
  <c r="J23" i="6" s="1"/>
  <c r="I30" i="6"/>
  <c r="J30" i="6" s="1"/>
  <c r="I46" i="6"/>
  <c r="J46" i="6" s="1"/>
  <c r="H2" i="6"/>
  <c r="J3" i="6"/>
  <c r="J7" i="6"/>
  <c r="J15" i="6"/>
  <c r="J19" i="6"/>
  <c r="J26" i="6"/>
  <c r="J34" i="6"/>
  <c r="J38" i="6"/>
  <c r="J42" i="6"/>
  <c r="J50" i="6"/>
  <c r="I5" i="6"/>
  <c r="J5" i="6" s="1"/>
  <c r="I9" i="6"/>
  <c r="J9" i="6" s="1"/>
  <c r="I13" i="6"/>
  <c r="J13" i="6" s="1"/>
  <c r="I17" i="6"/>
  <c r="J17" i="6" s="1"/>
  <c r="I21" i="6"/>
  <c r="J21" i="6" s="1"/>
  <c r="I24" i="6"/>
  <c r="J24" i="6" s="1"/>
  <c r="I28" i="6"/>
  <c r="J28" i="6" s="1"/>
  <c r="I32" i="6"/>
  <c r="J32" i="6" s="1"/>
  <c r="I36" i="6"/>
  <c r="J36" i="6" s="1"/>
  <c r="I40" i="6"/>
  <c r="J40" i="6" s="1"/>
  <c r="I44" i="6"/>
  <c r="J44" i="6" s="1"/>
  <c r="I48" i="6"/>
  <c r="J48" i="6" s="1"/>
  <c r="I13" i="4"/>
  <c r="J13" i="4" s="1"/>
  <c r="I35" i="4"/>
  <c r="J35" i="4"/>
  <c r="I40" i="4"/>
  <c r="J40" i="4" s="1"/>
  <c r="I23" i="4"/>
  <c r="J23" i="4" s="1"/>
  <c r="I11" i="4"/>
  <c r="J11" i="4"/>
  <c r="I21" i="4"/>
  <c r="J21" i="4" s="1"/>
  <c r="J26" i="4"/>
  <c r="I31" i="4"/>
  <c r="J31" i="4" s="1"/>
  <c r="I36" i="4"/>
  <c r="J36" i="4" s="1"/>
  <c r="I41" i="4"/>
  <c r="J41" i="4" s="1"/>
  <c r="J14" i="4"/>
  <c r="I19" i="4"/>
  <c r="J19" i="4"/>
  <c r="I24" i="4"/>
  <c r="J24" i="4" s="1"/>
  <c r="I29" i="4"/>
  <c r="J29" i="4" s="1"/>
  <c r="J46" i="4"/>
  <c r="I51" i="4"/>
  <c r="J51" i="4"/>
  <c r="J8" i="4"/>
  <c r="I8" i="4"/>
  <c r="I28" i="4"/>
  <c r="J28" i="4" s="1"/>
  <c r="I43" i="4"/>
  <c r="J43" i="4"/>
  <c r="I4" i="4"/>
  <c r="J4" i="4" s="1"/>
  <c r="H52" i="4"/>
  <c r="I7" i="4"/>
  <c r="J7" i="4"/>
  <c r="I12" i="4"/>
  <c r="J12" i="4" s="1"/>
  <c r="I17" i="4"/>
  <c r="J17" i="4" s="1"/>
  <c r="I39" i="4"/>
  <c r="J39" i="4" s="1"/>
  <c r="I44" i="4"/>
  <c r="J44" i="4" s="1"/>
  <c r="I49" i="4"/>
  <c r="J49" i="4" s="1"/>
  <c r="I33" i="4"/>
  <c r="J33" i="4" s="1"/>
  <c r="J16" i="4"/>
  <c r="I16" i="4"/>
  <c r="I5" i="4"/>
  <c r="J5" i="4" s="1"/>
  <c r="I27" i="4"/>
  <c r="J27" i="4"/>
  <c r="I32" i="4"/>
  <c r="J32" i="4" s="1"/>
  <c r="J37" i="4"/>
  <c r="I37" i="4"/>
  <c r="I3" i="4"/>
  <c r="J3" i="4"/>
  <c r="I45" i="4"/>
  <c r="J45" i="4" s="1"/>
  <c r="I48" i="4"/>
  <c r="J48" i="4" s="1"/>
  <c r="J9" i="4"/>
  <c r="I9" i="4"/>
  <c r="I15" i="4"/>
  <c r="J15" i="4"/>
  <c r="I20" i="4"/>
  <c r="J20" i="4" s="1"/>
  <c r="I25" i="4"/>
  <c r="J25" i="4" s="1"/>
  <c r="J42" i="4"/>
  <c r="I47" i="4"/>
  <c r="J47" i="4"/>
  <c r="I2" i="4"/>
  <c r="J2" i="4" s="1"/>
  <c r="I14" i="4"/>
  <c r="I26" i="4"/>
  <c r="I30" i="4"/>
  <c r="J30" i="4" s="1"/>
  <c r="I34" i="4"/>
  <c r="J34" i="4" s="1"/>
  <c r="I38" i="4"/>
  <c r="J38" i="4" s="1"/>
  <c r="I42" i="4"/>
  <c r="I46" i="4"/>
  <c r="J6" i="4"/>
  <c r="J10" i="4"/>
  <c r="J18" i="4"/>
  <c r="J22" i="4"/>
  <c r="J50" i="4"/>
  <c r="O2" i="5" l="1"/>
  <c r="A23" i="7"/>
  <c r="H52" i="6"/>
  <c r="I2" i="6"/>
  <c r="I52" i="6" s="1"/>
  <c r="J52" i="4"/>
  <c r="I52" i="4"/>
  <c r="A29" i="7" l="1"/>
  <c r="A26" i="7"/>
  <c r="J2" i="6"/>
  <c r="J5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4A45ED-3B05-4532-A138-8E92566BBFA6}" name="Connection" type="104" refreshedVersion="0" background="1">
    <extLst>
      <ext xmlns:x15="http://schemas.microsoft.com/office/spreadsheetml/2010/11/main" uri="{DE250136-89BD-433C-8126-D09CA5730AF9}">
        <x15:connection id="Calendar"/>
      </ext>
    </extLst>
  </connection>
  <connection id="2" xr16:uid="{E5C6E2B0-F94C-4EE4-80FB-4AAE86B484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96BBF2C-530A-469F-871E-727468BF0D9B}" name="WorksheetConnection_TechBridge_Nigeria_Practice_Dataset.xlsx!Table1" type="102" refreshedVersion="8" minRefreshableVersion="5">
    <extLst>
      <ext xmlns:x15="http://schemas.microsoft.com/office/spreadsheetml/2010/11/main" uri="{DE250136-89BD-433C-8126-D09CA5730AF9}">
        <x15:connection id="Table1" autoDelete="1">
          <x15:rangePr sourceName="_xlcn.WorksheetConnection_TechBridge_Nigeria_Practice_Dataset.xlsxTable11"/>
        </x15:connection>
      </ext>
    </extLst>
  </connection>
</connections>
</file>

<file path=xl/sharedStrings.xml><?xml version="1.0" encoding="utf-8"?>
<sst xmlns="http://schemas.openxmlformats.org/spreadsheetml/2006/main" count="9326" uniqueCount="1045">
  <si>
    <t>🏢  TECHBRIDGE NIGERIA LTD — EXCEL ANALYST PRACTICE WORKBOOK</t>
  </si>
  <si>
    <t>About TechBridge Nigeria Ltd</t>
  </si>
  <si>
    <t>TechBridge Nigeria Ltd is a Lagos-based technology distribution company operating across 4 regions (North, South, East, West). They sell consumer electronics and accessories via Online, In-Store, and Distributor channels. You have been hired as a Junior Data Analyst. Your manager has handed you raw sales data for FY2024 and wants a full report and dashboard by Friday.</t>
  </si>
  <si>
    <t>TASK 1 — Text to Columns</t>
  </si>
  <si>
    <t>RAW_DATA sheet → Column M ('Details') is pipe-delimited. Use Data &gt; Text to Columns to split into 3 new columns: Product_Clean | Category_Clean | Channel_Clean.</t>
  </si>
  <si>
    <t>TASK 2 — Data Cleaning</t>
  </si>
  <si>
    <t>RAW_DATA: Fix typos in Region, Status, Channel, Product columns using Find &amp; Replace. Remove exact duplicate rows (use Remove Duplicates). Handle blank cells with 'N/A'. Correct outlier Unit Prices (flag with conditional formatting — red fill if &lt;1000 or &gt;600000).</t>
  </si>
  <si>
    <t>TASK 3 — XLOOKUP Practice</t>
  </si>
  <si>
    <t>CALC_TABLE column K: Write an XLOOKUP to pull Category from LOOKUP_TABLES. The formula is already in the sheet — study it, then modify it to also pull SKU into a new column.</t>
  </si>
  <si>
    <t>TASK 4 — INDEX / MATCH</t>
  </si>
  <si>
    <t>CALC_TABLE column L: An INDEX/MATCH is already pulling Warranty months. Now write one to fetch the Supplier name from LOOKUP_TABLES into a new column.</t>
  </si>
  <si>
    <t>TASK 5 — IFERROR Handling</t>
  </si>
  <si>
    <t>Wrap every XLOOKUP and INDEX/MATCH formula in an IFERROR() to display 'Not Found' instead of #N/A. The template has examples. Identify which rows trigger errors and why.</t>
  </si>
  <si>
    <t>TASK 6 — Advanced Formulas</t>
  </si>
  <si>
    <t>On a new sheet called 'ANALYSIS', write:
  • SUMIF: Total Revenue by Region
  • COUNTIF: Count of 'Completed' orders per Sales Rep
  • AVERAGEIFS: Avg Unit Price for Electronics in the North region
  • SUMPRODUCT: Weighted average discount across all orders
  • LARGE / SMALL: Top 5 and Bottom 5 revenue orders</t>
  </si>
  <si>
    <t>TASK 7 — Pivot Tables</t>
  </si>
  <si>
    <t>Create 3 Pivot Tables from RAW_DATA:
  PT1: Sales Rep vs Region → Sum of Revenue
  PT2: Product → Count of Orders, Sum of Quantity, Avg Unit Price
  PT3: Month (from Order Date) → Sum of Revenue by Channel
  Add slicers for Region and Status.</t>
  </si>
  <si>
    <t>TASK 8 — Conditional Formatting</t>
  </si>
  <si>
    <t>In CALC_TABLE:
  • Green fill: Net Revenue &gt; ₦5,000,000
  • Yellow fill: Net Revenue ₦1,000,000–₦5,000,000
  • Red fill: Net Revenue &lt; ₦1,000,000
  In RAW_DATA: Highlight entire row if Status = 'Returned' in orange.</t>
  </si>
  <si>
    <t>TASK 9 — Dashboard</t>
  </si>
  <si>
    <t>Create a sheet called 'DASHBOARD' with:
  • KPI Cards: Total Revenue | Total Orders | Avg Order Value | Return Rate
  • Bar Chart: Revenue by Region
  • Line Chart: Monthly Revenue Trend
  • Pie/Donut Chart: Revenue by Channel
  • Top 5 Sales Reps table
  Use dynamic chart titles referencing cells. Make it visually professional.</t>
  </si>
  <si>
    <t>TASK 10 — Business Insight Report</t>
  </si>
  <si>
    <t>After analysis, answer these questions in a new sheet called 'INSIGHTS':
  1. Which region generates the highest revenue?
  2. Which product has the highest return rate?
  3. Which sales rep is underperforming against their target?
  4. What month had the lowest sales and why might that be?
  5. Recommend 2 actions for the Sales Director.</t>
  </si>
  <si>
    <t>⚠️  NOTE: The data contains intentional errors for practice — typos, duplicates, missing values, outliers, and future-dated orders. Cleaning them is part of the exercise!</t>
  </si>
  <si>
    <t>Order ID</t>
  </si>
  <si>
    <t>Order Date</t>
  </si>
  <si>
    <t>Customer ID</t>
  </si>
  <si>
    <t>Sales Rep</t>
  </si>
  <si>
    <t>Region</t>
  </si>
  <si>
    <t>Product</t>
  </si>
  <si>
    <t>Category</t>
  </si>
  <si>
    <t>Channel</t>
  </si>
  <si>
    <t>Quantity</t>
  </si>
  <si>
    <t>Unit Price (₦)</t>
  </si>
  <si>
    <t>Discount (%)</t>
  </si>
  <si>
    <t>Status</t>
  </si>
  <si>
    <t>Details (Use Text-to-Columns)</t>
  </si>
  <si>
    <t>ORD-47512</t>
  </si>
  <si>
    <t>CUST-4094</t>
  </si>
  <si>
    <t>Yemi Osinbajo</t>
  </si>
  <si>
    <t>East</t>
  </si>
  <si>
    <t>Wireless Earbuds</t>
  </si>
  <si>
    <t>Accessories</t>
  </si>
  <si>
    <t>Distributor</t>
  </si>
  <si>
    <t>Pending</t>
  </si>
  <si>
    <t>Wireless Earbuds|Accessories|Distributor</t>
  </si>
  <si>
    <t>ORD-67431</t>
  </si>
  <si>
    <t>CUST-1447</t>
  </si>
  <si>
    <t>Fatima Aliyu</t>
  </si>
  <si>
    <t>North</t>
  </si>
  <si>
    <t>Mouse Ergo</t>
  </si>
  <si>
    <t>Completed</t>
  </si>
  <si>
    <t>Mouse Ergo|Accessories|Distributor</t>
  </si>
  <si>
    <t>ORD-89777</t>
  </si>
  <si>
    <t>CUST-4674</t>
  </si>
  <si>
    <t>James Okafor</t>
  </si>
  <si>
    <t>West</t>
  </si>
  <si>
    <t>Keyboard Mech</t>
  </si>
  <si>
    <t>Keyboard Mech|Accessories|Distributor</t>
  </si>
  <si>
    <t>ORD-84141</t>
  </si>
  <si>
    <t>CUST-1120</t>
  </si>
  <si>
    <t>Webcam HD</t>
  </si>
  <si>
    <t>Webcam HD|Accessories|Distributor</t>
  </si>
  <si>
    <t>ORD-72684</t>
  </si>
  <si>
    <t>CUST-2977</t>
  </si>
  <si>
    <t>Chukwudi Eze</t>
  </si>
  <si>
    <t>In-Store</t>
  </si>
  <si>
    <t>Keyboard Mech|Accessories|In-Store</t>
  </si>
  <si>
    <t>ORD-88636</t>
  </si>
  <si>
    <t>CUST-1008</t>
  </si>
  <si>
    <t>South</t>
  </si>
  <si>
    <t>Online</t>
  </si>
  <si>
    <t>Mouse Ergo|Accessories|Online</t>
  </si>
  <si>
    <t>ORD-98754</t>
  </si>
  <si>
    <t>CUST-1949</t>
  </si>
  <si>
    <t>Ngozi Adeyemi</t>
  </si>
  <si>
    <t>Tablet Air</t>
  </si>
  <si>
    <t>Electronics</t>
  </si>
  <si>
    <t>Tablet Air|Electronics|In-Store</t>
  </si>
  <si>
    <t>ORD-27224</t>
  </si>
  <si>
    <t>CUST-3174</t>
  </si>
  <si>
    <t>Emeka Nwosu</t>
  </si>
  <si>
    <t>SmartPhone X</t>
  </si>
  <si>
    <t>SmartPhone X|Electronics|Online</t>
  </si>
  <si>
    <t>ORD-64948</t>
  </si>
  <si>
    <t>CUST-3751</t>
  </si>
  <si>
    <t>Cancelled</t>
  </si>
  <si>
    <t>Webcam HD|Accessories|In-Store</t>
  </si>
  <si>
    <t>ORD-68459</t>
  </si>
  <si>
    <t>CUST-2962</t>
  </si>
  <si>
    <t>ORD-26406</t>
  </si>
  <si>
    <t>CUST-3698</t>
  </si>
  <si>
    <t>Laptop Pro</t>
  </si>
  <si>
    <t>Laptop Pro|Electronics|Online</t>
  </si>
  <si>
    <t>ORD-99016</t>
  </si>
  <si>
    <t>CUST-3424</t>
  </si>
  <si>
    <t>Keyboard Mech|Accessories|Online</t>
  </si>
  <si>
    <t>ORD-95800</t>
  </si>
  <si>
    <t>CUST-2442</t>
  </si>
  <si>
    <t>Monitor 4K</t>
  </si>
  <si>
    <t>Monitor 4K|Electronics|Online</t>
  </si>
  <si>
    <t>ORD-94614</t>
  </si>
  <si>
    <t>CUST-2531</t>
  </si>
  <si>
    <t>SmartPhone X|Electronics|In-Store</t>
  </si>
  <si>
    <t>ORD-54350</t>
  </si>
  <si>
    <t>CUST-2032</t>
  </si>
  <si>
    <t>Laptop Pro|Electronics|Distributor</t>
  </si>
  <si>
    <t>ORD-53207</t>
  </si>
  <si>
    <t>CUST-1424</t>
  </si>
  <si>
    <t>Ibrahim Musa</t>
  </si>
  <si>
    <t>SmartPhone X|Electronics|None</t>
  </si>
  <si>
    <t>ORD-49008</t>
  </si>
  <si>
    <t>CUST-3955</t>
  </si>
  <si>
    <t>ORD-18357</t>
  </si>
  <si>
    <t>CUST-1554</t>
  </si>
  <si>
    <t>Webcam HD|Accessories|Online</t>
  </si>
  <si>
    <t>ORD-25194</t>
  </si>
  <si>
    <t>CUST-2481</t>
  </si>
  <si>
    <t>Tunde Fashola</t>
  </si>
  <si>
    <t>ORD-13478</t>
  </si>
  <si>
    <t>CUST-4315</t>
  </si>
  <si>
    <t>ORD-60940</t>
  </si>
  <si>
    <t>CUST-4626</t>
  </si>
  <si>
    <t>Mouse Ergo|Accessories|In-Store</t>
  </si>
  <si>
    <t>ORD-77286</t>
  </si>
  <si>
    <t>CUST-2623</t>
  </si>
  <si>
    <t>ORD-59131</t>
  </si>
  <si>
    <t>CUST-1717</t>
  </si>
  <si>
    <t>ORD-77154</t>
  </si>
  <si>
    <t>CUST-2263</t>
  </si>
  <si>
    <t>ONLINE</t>
  </si>
  <si>
    <t>Returned</t>
  </si>
  <si>
    <t>SmartPhone X|Electronics|ONLINE</t>
  </si>
  <si>
    <t>ORD-23173</t>
  </si>
  <si>
    <t>CUST-2468</t>
  </si>
  <si>
    <t>ORD-87278</t>
  </si>
  <si>
    <t>CUST-2238</t>
  </si>
  <si>
    <t>On-Line</t>
  </si>
  <si>
    <t>Webcam HD|Accessories|On-Line</t>
  </si>
  <si>
    <t>ORD-96400</t>
  </si>
  <si>
    <t>CUST-3999</t>
  </si>
  <si>
    <t>Amaka Bello</t>
  </si>
  <si>
    <t>Tablet Air|Electronics|Online</t>
  </si>
  <si>
    <t>ORD-56457</t>
  </si>
  <si>
    <t>CUST-1925</t>
  </si>
  <si>
    <t>ORD-41571</t>
  </si>
  <si>
    <t>CUST-3702</t>
  </si>
  <si>
    <t>ORD-22463</t>
  </si>
  <si>
    <t>CUST-1373</t>
  </si>
  <si>
    <t>Monitor 4K|Electronics|Distributor</t>
  </si>
  <si>
    <t>ORD-44116</t>
  </si>
  <si>
    <t>CUST-1303</t>
  </si>
  <si>
    <t>ORD-47836</t>
  </si>
  <si>
    <t>CUST-3224</t>
  </si>
  <si>
    <t>Kemi Adebayo</t>
  </si>
  <si>
    <t>ORD-16564</t>
  </si>
  <si>
    <t>CUST-2744</t>
  </si>
  <si>
    <t>SmartPhone X|Electronics|On-Line</t>
  </si>
  <si>
    <t>ORD-63914</t>
  </si>
  <si>
    <t>CUST-2763</t>
  </si>
  <si>
    <t>ORD-96673</t>
  </si>
  <si>
    <t>CUST-4416</t>
  </si>
  <si>
    <t>Nroth</t>
  </si>
  <si>
    <t>InStore</t>
  </si>
  <si>
    <t>completed</t>
  </si>
  <si>
    <t>Wireless Earbuds|Accessories|InStore</t>
  </si>
  <si>
    <t>ORD-22689</t>
  </si>
  <si>
    <t>CUST-2341</t>
  </si>
  <si>
    <t>Laptop Pro|Electronics|In-Store</t>
  </si>
  <si>
    <t>ORD-68287</t>
  </si>
  <si>
    <t>CUST-4965</t>
  </si>
  <si>
    <t>ORD-12757</t>
  </si>
  <si>
    <t>CUST-1937</t>
  </si>
  <si>
    <t>NORTH</t>
  </si>
  <si>
    <t>Compelted</t>
  </si>
  <si>
    <t>Webcam HD|Accessories|InStore</t>
  </si>
  <si>
    <t>ORD-13037</t>
  </si>
  <si>
    <t>CUST-1207</t>
  </si>
  <si>
    <t>ORD-24322</t>
  </si>
  <si>
    <t>CUST-2894</t>
  </si>
  <si>
    <t>Wireless Earbuds|Accessories|In-Store</t>
  </si>
  <si>
    <t>ORD-52622</t>
  </si>
  <si>
    <t>CUST-4248</t>
  </si>
  <si>
    <t>ORD-82102</t>
  </si>
  <si>
    <t>CUST-4354</t>
  </si>
  <si>
    <t>ORD-57819</t>
  </si>
  <si>
    <t>CUST-3187</t>
  </si>
  <si>
    <t>ORD-58655</t>
  </si>
  <si>
    <t>CUST-2840</t>
  </si>
  <si>
    <t>ORD-80075</t>
  </si>
  <si>
    <t>CUST-2928</t>
  </si>
  <si>
    <t>ORD-95969</t>
  </si>
  <si>
    <t>CUST-3004</t>
  </si>
  <si>
    <t>ORD-20589</t>
  </si>
  <si>
    <t>CUST-3246</t>
  </si>
  <si>
    <t>south</t>
  </si>
  <si>
    <t>online</t>
  </si>
  <si>
    <t>Monitor 4K|Electronics|online</t>
  </si>
  <si>
    <t>ORD-55143</t>
  </si>
  <si>
    <t>CUST-4090</t>
  </si>
  <si>
    <t>ORD-94803</t>
  </si>
  <si>
    <t>CUST-2059</t>
  </si>
  <si>
    <t>ORD-74340</t>
  </si>
  <si>
    <t>CUST-4954</t>
  </si>
  <si>
    <t>SmartPhone X|Electronics|Distributor</t>
  </si>
  <si>
    <t>ORD-35614</t>
  </si>
  <si>
    <t>CUST-3604</t>
  </si>
  <si>
    <t>SOUTH</t>
  </si>
  <si>
    <t>Webcam HD|Accessories|online</t>
  </si>
  <si>
    <t>ORD-91851</t>
  </si>
  <si>
    <t>CUST-3667</t>
  </si>
  <si>
    <t>ORD-62205</t>
  </si>
  <si>
    <t>CUST-4672</t>
  </si>
  <si>
    <t>ORD-61374</t>
  </si>
  <si>
    <t>CUST-2345</t>
  </si>
  <si>
    <t>ORD-19869</t>
  </si>
  <si>
    <t>CUST-2083</t>
  </si>
  <si>
    <t>ORD-69343</t>
  </si>
  <si>
    <t>CUST-1673</t>
  </si>
  <si>
    <t>ORD-69250</t>
  </si>
  <si>
    <t>CUST-4650</t>
  </si>
  <si>
    <t>Tablet Air|Electronics|Distributor</t>
  </si>
  <si>
    <t>ORD-78202</t>
  </si>
  <si>
    <t>CUST-1227</t>
  </si>
  <si>
    <t>ORD-60891</t>
  </si>
  <si>
    <t>CUST-3811</t>
  </si>
  <si>
    <t>ORD-73335</t>
  </si>
  <si>
    <t>CUST-1089</t>
  </si>
  <si>
    <t>ORD-53573</t>
  </si>
  <si>
    <t>CUST-2568</t>
  </si>
  <si>
    <t>ORD-58281</t>
  </si>
  <si>
    <t>CUST-4961</t>
  </si>
  <si>
    <t>Monitor 4K|Electronics|In-Store</t>
  </si>
  <si>
    <t>ORD-21221</t>
  </si>
  <si>
    <t>CUST-3603</t>
  </si>
  <si>
    <t>ORD-88956</t>
  </si>
  <si>
    <t>CUST-1318</t>
  </si>
  <si>
    <t>Souht</t>
  </si>
  <si>
    <t>in-store</t>
  </si>
  <si>
    <t>COMPLETED</t>
  </si>
  <si>
    <t>Monitor 4K|Electronics|in-store</t>
  </si>
  <si>
    <t>ORD-34983</t>
  </si>
  <si>
    <t>CUST-4360</t>
  </si>
  <si>
    <t>ORD-38679</t>
  </si>
  <si>
    <t>CUST-3936</t>
  </si>
  <si>
    <t>ORD-32185</t>
  </si>
  <si>
    <t>CUST-3737</t>
  </si>
  <si>
    <t>ORD-17367</t>
  </si>
  <si>
    <t>CUST-1118</t>
  </si>
  <si>
    <t>ORD-70161</t>
  </si>
  <si>
    <t>CUST-3713</t>
  </si>
  <si>
    <t>ORD-47941</t>
  </si>
  <si>
    <t>CUST-3225</t>
  </si>
  <si>
    <t>ORD-22183</t>
  </si>
  <si>
    <t>CUST-2579</t>
  </si>
  <si>
    <t>ORD-69988</t>
  </si>
  <si>
    <t>CUST-2631</t>
  </si>
  <si>
    <t>ORD-29340</t>
  </si>
  <si>
    <t>CUST-3707</t>
  </si>
  <si>
    <t>ORD-93810</t>
  </si>
  <si>
    <t>CUST-3771</t>
  </si>
  <si>
    <t>ORD-56438</t>
  </si>
  <si>
    <t>CUST-4279</t>
  </si>
  <si>
    <t>ORD-25717</t>
  </si>
  <si>
    <t>ORD-11238</t>
  </si>
  <si>
    <t>CUST-4764</t>
  </si>
  <si>
    <t>ORD-95054</t>
  </si>
  <si>
    <t>CUST-1389</t>
  </si>
  <si>
    <t>ORD-16522</t>
  </si>
  <si>
    <t>CUST-1882</t>
  </si>
  <si>
    <t>ORD-16358</t>
  </si>
  <si>
    <t>CUST-2867</t>
  </si>
  <si>
    <t>ORD-74451</t>
  </si>
  <si>
    <t>CUST-1658</t>
  </si>
  <si>
    <t>SmartPhone X|Electronics|online</t>
  </si>
  <si>
    <t>ORD-96772</t>
  </si>
  <si>
    <t>CUST-2939</t>
  </si>
  <si>
    <t>Mouse Ergo|Accessories|online</t>
  </si>
  <si>
    <t>ORD-52291</t>
  </si>
  <si>
    <t>CUST-2124</t>
  </si>
  <si>
    <t>ORD-93748</t>
  </si>
  <si>
    <t>CUST-1588</t>
  </si>
  <si>
    <t>ORD-63090</t>
  </si>
  <si>
    <t>CUST-2841</t>
  </si>
  <si>
    <t>ORD-99764</t>
  </si>
  <si>
    <t>CUST-3477</t>
  </si>
  <si>
    <t>ORD-45358</t>
  </si>
  <si>
    <t>CUST-2671</t>
  </si>
  <si>
    <t>ORD-12872</t>
  </si>
  <si>
    <t>CUST-3190</t>
  </si>
  <si>
    <t>ORD-63271</t>
  </si>
  <si>
    <t>CUST-2205</t>
  </si>
  <si>
    <t>ORD-41133</t>
  </si>
  <si>
    <t>CUST-4212</t>
  </si>
  <si>
    <t>ORD-61773</t>
  </si>
  <si>
    <t>CUST-2146</t>
  </si>
  <si>
    <t>Mouse Ergo|Accessories|On-Line</t>
  </si>
  <si>
    <t>ORD-75333</t>
  </si>
  <si>
    <t>CUST-3282</t>
  </si>
  <si>
    <t>ORD-87621</t>
  </si>
  <si>
    <t>CUST-4260</t>
  </si>
  <si>
    <t>ORD-24996</t>
  </si>
  <si>
    <t>CUST-2703</t>
  </si>
  <si>
    <t>ORD-42742</t>
  </si>
  <si>
    <t>CUST-1060</t>
  </si>
  <si>
    <t>ORD-55371</t>
  </si>
  <si>
    <t>CUST-1844</t>
  </si>
  <si>
    <t>ORD-71348</t>
  </si>
  <si>
    <t>CUST-3625</t>
  </si>
  <si>
    <t>ORD-29548</t>
  </si>
  <si>
    <t>CUST-2901</t>
  </si>
  <si>
    <t>ORD-41363</t>
  </si>
  <si>
    <t>CUST-2352</t>
  </si>
  <si>
    <t>ORD-53279</t>
  </si>
  <si>
    <t>CUST-2211</t>
  </si>
  <si>
    <t>ORD-93086</t>
  </si>
  <si>
    <t>CUST-2474</t>
  </si>
  <si>
    <t>ORD-32772</t>
  </si>
  <si>
    <t>CUST-3886</t>
  </si>
  <si>
    <t>Wireless Earbuds|Accessories|ONLINE</t>
  </si>
  <si>
    <t>ORD-54092</t>
  </si>
  <si>
    <t>CUST-2058</t>
  </si>
  <si>
    <t>ORD-67240</t>
  </si>
  <si>
    <t>CUST-2270</t>
  </si>
  <si>
    <t>ORD-47627</t>
  </si>
  <si>
    <t>CUST-4026</t>
  </si>
  <si>
    <t>ORD-26880</t>
  </si>
  <si>
    <t>CUST-4365</t>
  </si>
  <si>
    <t>ORD-84531</t>
  </si>
  <si>
    <t>CUST-1643</t>
  </si>
  <si>
    <t>ORD-44664</t>
  </si>
  <si>
    <t>CUST-2484</t>
  </si>
  <si>
    <t>ORD-49467</t>
  </si>
  <si>
    <t>CUST-2715</t>
  </si>
  <si>
    <t>ORD-63636</t>
  </si>
  <si>
    <t>CUST-2872</t>
  </si>
  <si>
    <t>ORD-42444</t>
  </si>
  <si>
    <t>CUST-4325</t>
  </si>
  <si>
    <t>ORD-32216</t>
  </si>
  <si>
    <t>CUST-2130</t>
  </si>
  <si>
    <t>ORD-82140</t>
  </si>
  <si>
    <t>CUST-3954</t>
  </si>
  <si>
    <t>ORD-87296</t>
  </si>
  <si>
    <t>CUST-4611</t>
  </si>
  <si>
    <t>Wireless Earbuds|Accessories|Online</t>
  </si>
  <si>
    <t>ORD-64206</t>
  </si>
  <si>
    <t>CUST-4982</t>
  </si>
  <si>
    <t>ORD-43491</t>
  </si>
  <si>
    <t>CUST-3181</t>
  </si>
  <si>
    <t>ORD-52245</t>
  </si>
  <si>
    <t>CUST-2552</t>
  </si>
  <si>
    <t>ORD-85511</t>
  </si>
  <si>
    <t>CUST-1905</t>
  </si>
  <si>
    <t>ORD-64732</t>
  </si>
  <si>
    <t>CUST-3255</t>
  </si>
  <si>
    <t>ORD-41278</t>
  </si>
  <si>
    <t>CUST-2266</t>
  </si>
  <si>
    <t>ORD-25572</t>
  </si>
  <si>
    <t>CUST-3467</t>
  </si>
  <si>
    <t>ORD-46002</t>
  </si>
  <si>
    <t>CUST-2510</t>
  </si>
  <si>
    <t>ORD-96752</t>
  </si>
  <si>
    <t>CUST-1249</t>
  </si>
  <si>
    <t>ORD-46512</t>
  </si>
  <si>
    <t>ORD-35415</t>
  </si>
  <si>
    <t>CUST-1710</t>
  </si>
  <si>
    <t>ORD-43980</t>
  </si>
  <si>
    <t>CUST-3145</t>
  </si>
  <si>
    <t>ORD-86344</t>
  </si>
  <si>
    <t>CUST-2256</t>
  </si>
  <si>
    <t>ORD-62550</t>
  </si>
  <si>
    <t>CUST-1032</t>
  </si>
  <si>
    <t>ORD-67014</t>
  </si>
  <si>
    <t>CUST-2302</t>
  </si>
  <si>
    <t>ORD-67261</t>
  </si>
  <si>
    <t>CUST-1718</t>
  </si>
  <si>
    <t>ORD-59797</t>
  </si>
  <si>
    <t>CUST-1511</t>
  </si>
  <si>
    <t>ORD-87847</t>
  </si>
  <si>
    <t>CUST-2496</t>
  </si>
  <si>
    <t>ORD-42534</t>
  </si>
  <si>
    <t>CUST-4899</t>
  </si>
  <si>
    <t>ORD-20735</t>
  </si>
  <si>
    <t>CUST-4199</t>
  </si>
  <si>
    <t>ORD-75916</t>
  </si>
  <si>
    <t>CUST-4580</t>
  </si>
  <si>
    <t>ORD-54587</t>
  </si>
  <si>
    <t>CUST-4980</t>
  </si>
  <si>
    <t>ORD-36143</t>
  </si>
  <si>
    <t>CUST-3961</t>
  </si>
  <si>
    <t>ORD-59051</t>
  </si>
  <si>
    <t>CUST-2132</t>
  </si>
  <si>
    <t>ORD-10455</t>
  </si>
  <si>
    <t>CUST-2886</t>
  </si>
  <si>
    <t>ORD-93151</t>
  </si>
  <si>
    <t>CUST-1221</t>
  </si>
  <si>
    <t>ORD-68447</t>
  </si>
  <si>
    <t>CUST-4733</t>
  </si>
  <si>
    <t>ORD-82923</t>
  </si>
  <si>
    <t>CUST-3406</t>
  </si>
  <si>
    <t>ORD-77499</t>
  </si>
  <si>
    <t>CUST-1577</t>
  </si>
  <si>
    <t>ORD-81582</t>
  </si>
  <si>
    <t>CUST-3739</t>
  </si>
  <si>
    <t>ORD-45200</t>
  </si>
  <si>
    <t>CUST-4976</t>
  </si>
  <si>
    <t>ORD-27125</t>
  </si>
  <si>
    <t>CUST-2287</t>
  </si>
  <si>
    <t>ORD-80852</t>
  </si>
  <si>
    <t>CUST-1400</t>
  </si>
  <si>
    <t>ORD-81258</t>
  </si>
  <si>
    <t>CUST-4738</t>
  </si>
  <si>
    <t>ORD-11620</t>
  </si>
  <si>
    <t>CUST-3869</t>
  </si>
  <si>
    <t>ORD-99070</t>
  </si>
  <si>
    <t>CUST-1475</t>
  </si>
  <si>
    <t>Webcam HD|Accessories|None</t>
  </si>
  <si>
    <t>ORD-80329</t>
  </si>
  <si>
    <t>CUST-2931</t>
  </si>
  <si>
    <t>ORD-89807</t>
  </si>
  <si>
    <t>CUST-2719</t>
  </si>
  <si>
    <t>ORD-51104</t>
  </si>
  <si>
    <t>CUST-1761</t>
  </si>
  <si>
    <t>ORD-16734</t>
  </si>
  <si>
    <t>ORD-14852</t>
  </si>
  <si>
    <t>CUST-1062</t>
  </si>
  <si>
    <t>ORD-25328</t>
  </si>
  <si>
    <t>CUST-2571</t>
  </si>
  <si>
    <t>ORD-18981</t>
  </si>
  <si>
    <t>CUST-1335</t>
  </si>
  <si>
    <t>ORD-71487</t>
  </si>
  <si>
    <t>CUST-4851</t>
  </si>
  <si>
    <t>ORD-46877</t>
  </si>
  <si>
    <t>CUST-1548</t>
  </si>
  <si>
    <t>Mouse Ergo|Accessories|ONLINE</t>
  </si>
  <si>
    <t>ORD-72580</t>
  </si>
  <si>
    <t>CUST-2236</t>
  </si>
  <si>
    <t>ORD-67154</t>
  </si>
  <si>
    <t>CUST-4771</t>
  </si>
  <si>
    <t>ORD-33496</t>
  </si>
  <si>
    <t>CUST-4339</t>
  </si>
  <si>
    <t>ORD-61498</t>
  </si>
  <si>
    <t>CUST-4374</t>
  </si>
  <si>
    <t>ORD-64090</t>
  </si>
  <si>
    <t>CUST-3648</t>
  </si>
  <si>
    <t>ORD-71918</t>
  </si>
  <si>
    <t>CUST-3664</t>
  </si>
  <si>
    <t>ORD-92614</t>
  </si>
  <si>
    <t>CUST-2816</t>
  </si>
  <si>
    <t>ORD-20237</t>
  </si>
  <si>
    <t>CUST-2343</t>
  </si>
  <si>
    <t>ORD-87662</t>
  </si>
  <si>
    <t>CUST-4884</t>
  </si>
  <si>
    <t>ORD-30934</t>
  </si>
  <si>
    <t>CUST-1897</t>
  </si>
  <si>
    <t>ORD-18819</t>
  </si>
  <si>
    <t>CUST-2797</t>
  </si>
  <si>
    <t>ORD-81482</t>
  </si>
  <si>
    <t>CUST-3465</t>
  </si>
  <si>
    <t>ORD-98805</t>
  </si>
  <si>
    <t>CUST-1174</t>
  </si>
  <si>
    <t>ORD-38047</t>
  </si>
  <si>
    <t>CUST-3403</t>
  </si>
  <si>
    <t>ORD-41194</t>
  </si>
  <si>
    <t>CUST-2022</t>
  </si>
  <si>
    <t>ORD-41439</t>
  </si>
  <si>
    <t>CUST-2924</t>
  </si>
  <si>
    <t>ORD-91927</t>
  </si>
  <si>
    <t>CUST-1244</t>
  </si>
  <si>
    <t>Wireless Earbuds|Accessories|in-store</t>
  </si>
  <si>
    <t>ORD-10336</t>
  </si>
  <si>
    <t>CUST-2413</t>
  </si>
  <si>
    <t>ORD-70012</t>
  </si>
  <si>
    <t>CUST-2250</t>
  </si>
  <si>
    <t>ORD-72216</t>
  </si>
  <si>
    <t>ORD-99051</t>
  </si>
  <si>
    <t>CUST-4188</t>
  </si>
  <si>
    <t>ORD-83975</t>
  </si>
  <si>
    <t>ORD-82512</t>
  </si>
  <si>
    <t>CUST-3502</t>
  </si>
  <si>
    <t>ORD-79603</t>
  </si>
  <si>
    <t>CUST-1528</t>
  </si>
  <si>
    <t>ORD-33260</t>
  </si>
  <si>
    <t>CUST-2494</t>
  </si>
  <si>
    <t>ORD-40161</t>
  </si>
  <si>
    <t>CUST-2786</t>
  </si>
  <si>
    <t>ORD-40715</t>
  </si>
  <si>
    <t>CUST-4753</t>
  </si>
  <si>
    <t>ORD-56437</t>
  </si>
  <si>
    <t>CUST-4856</t>
  </si>
  <si>
    <t>ORD-38074</t>
  </si>
  <si>
    <t>CUST-4228</t>
  </si>
  <si>
    <t>ORD-53228</t>
  </si>
  <si>
    <t>CUST-2324</t>
  </si>
  <si>
    <t>ORD-25191</t>
  </si>
  <si>
    <t>CUST-2098</t>
  </si>
  <si>
    <t>ORD-74054</t>
  </si>
  <si>
    <t>CUST-3202</t>
  </si>
  <si>
    <t>ORD-21188</t>
  </si>
  <si>
    <t>CUST-3300</t>
  </si>
  <si>
    <t>ORD-74066</t>
  </si>
  <si>
    <t>CUST-4403</t>
  </si>
  <si>
    <t>ORD-88964</t>
  </si>
  <si>
    <t>CUST-2255</t>
  </si>
  <si>
    <t>ORD-35995</t>
  </si>
  <si>
    <t>CUST-4299</t>
  </si>
  <si>
    <t>ORD-65448</t>
  </si>
  <si>
    <t>CUST-1574</t>
  </si>
  <si>
    <t>ORD-19545</t>
  </si>
  <si>
    <t>CUST-1604</t>
  </si>
  <si>
    <t>ORD-48177</t>
  </si>
  <si>
    <t>ORD-22224</t>
  </si>
  <si>
    <t>CUST-1674</t>
  </si>
  <si>
    <t>ORD-80328</t>
  </si>
  <si>
    <t>CUST-4990</t>
  </si>
  <si>
    <t>ORD-26750</t>
  </si>
  <si>
    <t>CUST-4895</t>
  </si>
  <si>
    <t>ORD-78069</t>
  </si>
  <si>
    <t>CUST-2609</t>
  </si>
  <si>
    <t>ORD-86622</t>
  </si>
  <si>
    <t>CUST-4095</t>
  </si>
  <si>
    <t>ORD-89026</t>
  </si>
  <si>
    <t>CUST-4919</t>
  </si>
  <si>
    <t>ORD-58085</t>
  </si>
  <si>
    <t>CUST-3677</t>
  </si>
  <si>
    <t>ORD-34523</t>
  </si>
  <si>
    <t>ORD-97304</t>
  </si>
  <si>
    <t>CUST-3118</t>
  </si>
  <si>
    <t>north</t>
  </si>
  <si>
    <t>Tablet Air|Electronics|InStore</t>
  </si>
  <si>
    <t>ORD-59595</t>
  </si>
  <si>
    <t>CUST-1745</t>
  </si>
  <si>
    <t>ORD-93964</t>
  </si>
  <si>
    <t>ORD-22240</t>
  </si>
  <si>
    <t>CUST-3503</t>
  </si>
  <si>
    <t>ORD-71474</t>
  </si>
  <si>
    <t>CUST-2564</t>
  </si>
  <si>
    <t>ORD-45842</t>
  </si>
  <si>
    <t>CUST-4295</t>
  </si>
  <si>
    <t>ORD-14888</t>
  </si>
  <si>
    <t>CUST-4836</t>
  </si>
  <si>
    <t>ORD-15220</t>
  </si>
  <si>
    <t>CUST-3623</t>
  </si>
  <si>
    <t>ORD-95426</t>
  </si>
  <si>
    <t>ORD-79514</t>
  </si>
  <si>
    <t>CUST-1237</t>
  </si>
  <si>
    <t>ORD-40311</t>
  </si>
  <si>
    <t>CUST-2908</t>
  </si>
  <si>
    <t>ORD-25292</t>
  </si>
  <si>
    <t>CUST-1555</t>
  </si>
  <si>
    <t>ORD-58623</t>
  </si>
  <si>
    <t>CUST-3660</t>
  </si>
  <si>
    <t>ORD-83259</t>
  </si>
  <si>
    <t>CUST-4528</t>
  </si>
  <si>
    <t>ORD-75435</t>
  </si>
  <si>
    <t>CUST-2076</t>
  </si>
  <si>
    <t>ORD-29762</t>
  </si>
  <si>
    <t>CUST-4190</t>
  </si>
  <si>
    <t>ORD-13280</t>
  </si>
  <si>
    <t>CUST-2672</t>
  </si>
  <si>
    <t>ORD-12009</t>
  </si>
  <si>
    <t>CUST-1837</t>
  </si>
  <si>
    <t>ORD-34486</t>
  </si>
  <si>
    <t>in store</t>
  </si>
  <si>
    <t>Mouse Ergo|Accessories|in store</t>
  </si>
  <si>
    <t>ORD-17992</t>
  </si>
  <si>
    <t>CUST-3583</t>
  </si>
  <si>
    <t>ORD-46739</t>
  </si>
  <si>
    <t>CUST-4144</t>
  </si>
  <si>
    <t>ORD-94320</t>
  </si>
  <si>
    <t>CUST-1360</t>
  </si>
  <si>
    <t>ORD-26769</t>
  </si>
  <si>
    <t>CUST-4048</t>
  </si>
  <si>
    <t>ORD-18885</t>
  </si>
  <si>
    <t>CUST-2718</t>
  </si>
  <si>
    <t>ORD-44237</t>
  </si>
  <si>
    <t>CUST-4221</t>
  </si>
  <si>
    <t>ORD-97416</t>
  </si>
  <si>
    <t>CUST-4541</t>
  </si>
  <si>
    <t>ORD-58916</t>
  </si>
  <si>
    <t>CUST-3259</t>
  </si>
  <si>
    <t>ORD-85766</t>
  </si>
  <si>
    <t>CUST-4898</t>
  </si>
  <si>
    <t>ORD-94562</t>
  </si>
  <si>
    <t>CUST-4886</t>
  </si>
  <si>
    <t>ORD-75799</t>
  </si>
  <si>
    <t>CUST-4437</t>
  </si>
  <si>
    <t>ORD-83989</t>
  </si>
  <si>
    <t>CUST-4261</t>
  </si>
  <si>
    <t>ORD-37631</t>
  </si>
  <si>
    <t>CUST-2978</t>
  </si>
  <si>
    <t>ORD-12853</t>
  </si>
  <si>
    <t>CUST-2411</t>
  </si>
  <si>
    <t>ORD-29484</t>
  </si>
  <si>
    <t>CUST-3030</t>
  </si>
  <si>
    <t>ORD-85456</t>
  </si>
  <si>
    <t>CUST-4061</t>
  </si>
  <si>
    <t>ORD-65194</t>
  </si>
  <si>
    <t>Laptop pro</t>
  </si>
  <si>
    <t>Laptop pro|Electronics|None</t>
  </si>
  <si>
    <t>ORD-14818</t>
  </si>
  <si>
    <t>CUST-1681</t>
  </si>
  <si>
    <t>ORD-56952</t>
  </si>
  <si>
    <t>CUST-4392</t>
  </si>
  <si>
    <t>ORD-52247</t>
  </si>
  <si>
    <t>CUST-4097</t>
  </si>
  <si>
    <t>ORD-28634</t>
  </si>
  <si>
    <t>CUST-2139</t>
  </si>
  <si>
    <t>ORD-51114</t>
  </si>
  <si>
    <t>CUST-3903</t>
  </si>
  <si>
    <t>ORD-93719</t>
  </si>
  <si>
    <t>CUST-1575</t>
  </si>
  <si>
    <t>ORD-87831</t>
  </si>
  <si>
    <t>CUST-3540</t>
  </si>
  <si>
    <t>ORD-92074</t>
  </si>
  <si>
    <t>CUST-3820</t>
  </si>
  <si>
    <t>ORD-67898</t>
  </si>
  <si>
    <t>CUST-2575</t>
  </si>
  <si>
    <t>ORD-48119</t>
  </si>
  <si>
    <t>CUST-4692</t>
  </si>
  <si>
    <t>ORD-53506</t>
  </si>
  <si>
    <t>CUST-2388</t>
  </si>
  <si>
    <t>ORD-54608</t>
  </si>
  <si>
    <t>CUST-3949</t>
  </si>
  <si>
    <t>ORD-27507</t>
  </si>
  <si>
    <t>CUST-4102</t>
  </si>
  <si>
    <t>ORD-24293</t>
  </si>
  <si>
    <t>CUST-4948</t>
  </si>
  <si>
    <t>ORD-72296</t>
  </si>
  <si>
    <t>CUST-1823</t>
  </si>
  <si>
    <t>ORD-18371</t>
  </si>
  <si>
    <t>CUST-3046</t>
  </si>
  <si>
    <t>ORD-21847</t>
  </si>
  <si>
    <t>CUST-1906</t>
  </si>
  <si>
    <t>ORD-19506</t>
  </si>
  <si>
    <t>ORD-20363</t>
  </si>
  <si>
    <t>ORD-14207</t>
  </si>
  <si>
    <t>CUST-3684</t>
  </si>
  <si>
    <t>ORD-66057</t>
  </si>
  <si>
    <t>CUST-3263</t>
  </si>
  <si>
    <t>ORD-29410</t>
  </si>
  <si>
    <t>ORD-14082</t>
  </si>
  <si>
    <t>CUST-1301</t>
  </si>
  <si>
    <t>ORD-63476</t>
  </si>
  <si>
    <t>CUST-4820</t>
  </si>
  <si>
    <t>ORD-58354</t>
  </si>
  <si>
    <t>CUST-4164</t>
  </si>
  <si>
    <t>ORD-25866</t>
  </si>
  <si>
    <t>CUST-1051</t>
  </si>
  <si>
    <t>ORD-33647</t>
  </si>
  <si>
    <t>CUST-3692</t>
  </si>
  <si>
    <t>ORD-31299</t>
  </si>
  <si>
    <t>CUST-4010</t>
  </si>
  <si>
    <t>ORD-48175</t>
  </si>
  <si>
    <t>CUST-4226</t>
  </si>
  <si>
    <t>ORD-16582</t>
  </si>
  <si>
    <t>CUST-3175</t>
  </si>
  <si>
    <t>ORD-48356</t>
  </si>
  <si>
    <t>CUST-2135</t>
  </si>
  <si>
    <t>LaptopPro</t>
  </si>
  <si>
    <t>LaptopPro|Electronics|InStore</t>
  </si>
  <si>
    <t>ORD-18200</t>
  </si>
  <si>
    <t>CUST-3747</t>
  </si>
  <si>
    <t>ORD-25139</t>
  </si>
  <si>
    <t>CUST-1757</t>
  </si>
  <si>
    <t>ORD-49315</t>
  </si>
  <si>
    <t>CUST-4237</t>
  </si>
  <si>
    <t>ORD-10142</t>
  </si>
  <si>
    <t>CUST-1033</t>
  </si>
  <si>
    <t>ORD-69432</t>
  </si>
  <si>
    <t>CUST-2262</t>
  </si>
  <si>
    <t>ORD-97747</t>
  </si>
  <si>
    <t>CUST-4947</t>
  </si>
  <si>
    <t>ORD-94252</t>
  </si>
  <si>
    <t>CUST-4865</t>
  </si>
  <si>
    <t>ORD-85748</t>
  </si>
  <si>
    <t>CUST-1470</t>
  </si>
  <si>
    <t>ORD-29848</t>
  </si>
  <si>
    <t>CUST-1849</t>
  </si>
  <si>
    <t>ORD-81612</t>
  </si>
  <si>
    <t>CUST-1883</t>
  </si>
  <si>
    <t>ORD-64379</t>
  </si>
  <si>
    <t>ORD-15376</t>
  </si>
  <si>
    <t>CUST-4922</t>
  </si>
  <si>
    <t>Mouse Ergo|Accessories|in-store</t>
  </si>
  <si>
    <t>ORD-58823</t>
  </si>
  <si>
    <t>CUST-1255</t>
  </si>
  <si>
    <t>ORD-64548</t>
  </si>
  <si>
    <t>ORD-90805</t>
  </si>
  <si>
    <t>CUST-1068</t>
  </si>
  <si>
    <t>ORD-36097</t>
  </si>
  <si>
    <t>CUST-2525</t>
  </si>
  <si>
    <t>ORD-81176</t>
  </si>
  <si>
    <t>CUST-3685</t>
  </si>
  <si>
    <t>ORD-28724</t>
  </si>
  <si>
    <t>CUST-3572</t>
  </si>
  <si>
    <t>ORD-59792</t>
  </si>
  <si>
    <t>CUST-1822</t>
  </si>
  <si>
    <t>ORD-91675</t>
  </si>
  <si>
    <t>CUST-2819</t>
  </si>
  <si>
    <t>ORD-40886</t>
  </si>
  <si>
    <t>CUST-3340</t>
  </si>
  <si>
    <t>ORD-29671</t>
  </si>
  <si>
    <t>CUST-2310</t>
  </si>
  <si>
    <t>ORD-23256</t>
  </si>
  <si>
    <t>CUST-3446</t>
  </si>
  <si>
    <t>ORD-88792</t>
  </si>
  <si>
    <t>CUST-2428</t>
  </si>
  <si>
    <t>ORD-94085</t>
  </si>
  <si>
    <t>CUST-4582</t>
  </si>
  <si>
    <t>ORD-67377</t>
  </si>
  <si>
    <t>CUST-2674</t>
  </si>
  <si>
    <t>ORD-82534</t>
  </si>
  <si>
    <t>CUST-4063</t>
  </si>
  <si>
    <t>ORD-27601</t>
  </si>
  <si>
    <t>CUST-3939</t>
  </si>
  <si>
    <t>ORD-54681</t>
  </si>
  <si>
    <t>CUST-3530</t>
  </si>
  <si>
    <t>ORD-77000</t>
  </si>
  <si>
    <t>CUST-2372</t>
  </si>
  <si>
    <t>ORD-75771</t>
  </si>
  <si>
    <t>CUST-4944</t>
  </si>
  <si>
    <t>ORD-52906</t>
  </si>
  <si>
    <t>CUST-4419</t>
  </si>
  <si>
    <t>ORD-60709</t>
  </si>
  <si>
    <t>CUST-3691</t>
  </si>
  <si>
    <t>ORD-23462</t>
  </si>
  <si>
    <t>ORD-95929</t>
  </si>
  <si>
    <t>CUST-4172</t>
  </si>
  <si>
    <t>ORD-39098</t>
  </si>
  <si>
    <t>CUST-4163</t>
  </si>
  <si>
    <t>ORD-48254</t>
  </si>
  <si>
    <t>ORD-10053</t>
  </si>
  <si>
    <t>CUST-1875</t>
  </si>
  <si>
    <t>ORD-50250</t>
  </si>
  <si>
    <t>CUST-1219</t>
  </si>
  <si>
    <t>ORD-67433</t>
  </si>
  <si>
    <t>CUST-4845</t>
  </si>
  <si>
    <t>ORD-34901</t>
  </si>
  <si>
    <t>CUST-1203</t>
  </si>
  <si>
    <t>ORD-65492</t>
  </si>
  <si>
    <t>CUST-2589</t>
  </si>
  <si>
    <t>ORD-55032</t>
  </si>
  <si>
    <t>CUST-3993</t>
  </si>
  <si>
    <t>ORD-70150</t>
  </si>
  <si>
    <t>ORD-59816</t>
  </si>
  <si>
    <t>CUST-3915</t>
  </si>
  <si>
    <t>SmartPhone X|Electronics|InStore</t>
  </si>
  <si>
    <t>ORD-44471</t>
  </si>
  <si>
    <t>CUST-4728</t>
  </si>
  <si>
    <t>ORD-72784</t>
  </si>
  <si>
    <t>CUST-2540</t>
  </si>
  <si>
    <t>ORD-62757</t>
  </si>
  <si>
    <t>CUST-4008</t>
  </si>
  <si>
    <t>ORD-67654</t>
  </si>
  <si>
    <t>CUST-1617</t>
  </si>
  <si>
    <t>ORD-73532</t>
  </si>
  <si>
    <t>CUST-3262</t>
  </si>
  <si>
    <t>ORD-84000</t>
  </si>
  <si>
    <t>CUST-4171</t>
  </si>
  <si>
    <t>ORD-41056</t>
  </si>
  <si>
    <t>CUST-1846</t>
  </si>
  <si>
    <t>ORD-43289</t>
  </si>
  <si>
    <t>CUST-1302</t>
  </si>
  <si>
    <t>ORD-32962</t>
  </si>
  <si>
    <t>CUST-4335</t>
  </si>
  <si>
    <t>ORD-11854</t>
  </si>
  <si>
    <t>CUST-3612</t>
  </si>
  <si>
    <t>ORD-68925</t>
  </si>
  <si>
    <t>CUST-2085</t>
  </si>
  <si>
    <t>ORD-61987</t>
  </si>
  <si>
    <t>ORD-29840</t>
  </si>
  <si>
    <t>CUST-1504</t>
  </si>
  <si>
    <t>ORD-85718</t>
  </si>
  <si>
    <t>CUST-3037</t>
  </si>
  <si>
    <t>ORD-20527</t>
  </si>
  <si>
    <t>CUST-1961</t>
  </si>
  <si>
    <t>ORD-95191</t>
  </si>
  <si>
    <t>CUST-3889</t>
  </si>
  <si>
    <t>ORD-54742</t>
  </si>
  <si>
    <t>ORD-88957</t>
  </si>
  <si>
    <t>CUST-3789</t>
  </si>
  <si>
    <t>ORD-70332</t>
  </si>
  <si>
    <t>CUST-2344</t>
  </si>
  <si>
    <t>ORD-69054</t>
  </si>
  <si>
    <t>CUST-3706</t>
  </si>
  <si>
    <t>ORD-84572</t>
  </si>
  <si>
    <t>CUST-3978</t>
  </si>
  <si>
    <t>ORD-51553</t>
  </si>
  <si>
    <t>CUST-3407</t>
  </si>
  <si>
    <t>ORD-74157</t>
  </si>
  <si>
    <t>CUST-4463</t>
  </si>
  <si>
    <t>Webcam HD|Accessories|ONLINE</t>
  </si>
  <si>
    <t>ORD-63627</t>
  </si>
  <si>
    <t>CUST-2733</t>
  </si>
  <si>
    <t>ORD-18834</t>
  </si>
  <si>
    <t>CUST-3208</t>
  </si>
  <si>
    <t>ORD-65057</t>
  </si>
  <si>
    <t>CUST-3137</t>
  </si>
  <si>
    <t>ORD-23538</t>
  </si>
  <si>
    <t>CUST-2577</t>
  </si>
  <si>
    <t>ORD-59615</t>
  </si>
  <si>
    <t>CUST-1187</t>
  </si>
  <si>
    <t>ORD-37222</t>
  </si>
  <si>
    <t>CUST-3023</t>
  </si>
  <si>
    <t>ORD-45554</t>
  </si>
  <si>
    <t>CUST-4907</t>
  </si>
  <si>
    <t>ORD-47947</t>
  </si>
  <si>
    <t>ORD-95256</t>
  </si>
  <si>
    <t>CUST-2099</t>
  </si>
  <si>
    <t>ORD-27290</t>
  </si>
  <si>
    <t>CUST-3721</t>
  </si>
  <si>
    <t>ORD-67290</t>
  </si>
  <si>
    <t>CUST-4209</t>
  </si>
  <si>
    <t>Wireless Earbuds|Accessories|in store</t>
  </si>
  <si>
    <t>ORD-21300</t>
  </si>
  <si>
    <t>CUST-1513</t>
  </si>
  <si>
    <t>ORD-25012</t>
  </si>
  <si>
    <t>CUST-2624</t>
  </si>
  <si>
    <t>ORD-20350</t>
  </si>
  <si>
    <t>Keyboard Mech|Accessories|in store</t>
  </si>
  <si>
    <t>ORD-58816</t>
  </si>
  <si>
    <t>CUST-3851</t>
  </si>
  <si>
    <t>ORD-35242</t>
  </si>
  <si>
    <t>ORD-80453</t>
  </si>
  <si>
    <t>ORD-75612</t>
  </si>
  <si>
    <t>CUST-4905</t>
  </si>
  <si>
    <t>ORD-30365</t>
  </si>
  <si>
    <t>ORD-33850</t>
  </si>
  <si>
    <t>CUST-1663</t>
  </si>
  <si>
    <t>ORD-46528</t>
  </si>
  <si>
    <t>CUST-2072</t>
  </si>
  <si>
    <t>ORD-83516</t>
  </si>
  <si>
    <t>CUST-3237</t>
  </si>
  <si>
    <t>ORD-60324</t>
  </si>
  <si>
    <t>CUST-2818</t>
  </si>
  <si>
    <t>ORD-54500</t>
  </si>
  <si>
    <t>CUST-3088</t>
  </si>
  <si>
    <t>ORD-91033</t>
  </si>
  <si>
    <t>CUST-2576</t>
  </si>
  <si>
    <t>ORD-15952</t>
  </si>
  <si>
    <t>CUST-1562</t>
  </si>
  <si>
    <t>ORD-95990</t>
  </si>
  <si>
    <t>CUST-2902</t>
  </si>
  <si>
    <t>ORD-80507</t>
  </si>
  <si>
    <t>CUST-3303</t>
  </si>
  <si>
    <t>ORD-92346</t>
  </si>
  <si>
    <t>CUST-4332</t>
  </si>
  <si>
    <t>ORD-32099</t>
  </si>
  <si>
    <t>CUST-2652</t>
  </si>
  <si>
    <t>ORD-63004</t>
  </si>
  <si>
    <t>CUST-4251</t>
  </si>
  <si>
    <t>ORD-28569</t>
  </si>
  <si>
    <t>CUST-1399</t>
  </si>
  <si>
    <t>ORD-23726</t>
  </si>
  <si>
    <t>CUST-3433</t>
  </si>
  <si>
    <t>ORD-58630</t>
  </si>
  <si>
    <t>CUST-1926</t>
  </si>
  <si>
    <t>ORD-94607</t>
  </si>
  <si>
    <t>CUST-1300</t>
  </si>
  <si>
    <t>ORD-37124</t>
  </si>
  <si>
    <t>CUST-3883</t>
  </si>
  <si>
    <t>ORD-44934</t>
  </si>
  <si>
    <t>CUST-1968</t>
  </si>
  <si>
    <t>ORD-23425</t>
  </si>
  <si>
    <t>CUST-3773</t>
  </si>
  <si>
    <t>ORD-64496</t>
  </si>
  <si>
    <t>CUST-4607</t>
  </si>
  <si>
    <t>ORD-76692</t>
  </si>
  <si>
    <t>CUST-4769</t>
  </si>
  <si>
    <t>ORD-74752</t>
  </si>
  <si>
    <t>CUST-3506</t>
  </si>
  <si>
    <t>LaptopPro|Electronics|in store</t>
  </si>
  <si>
    <t>ORD-42087</t>
  </si>
  <si>
    <t>CUST-4366</t>
  </si>
  <si>
    <t>ORD-18109</t>
  </si>
  <si>
    <t>CUST-2014</t>
  </si>
  <si>
    <t>ORD-42096</t>
  </si>
  <si>
    <t>ORD-69796</t>
  </si>
  <si>
    <t>CUST-3538</t>
  </si>
  <si>
    <t>ORD-36741</t>
  </si>
  <si>
    <t>CUST-2517</t>
  </si>
  <si>
    <t>ORD-65176</t>
  </si>
  <si>
    <t>CUST-3431</t>
  </si>
  <si>
    <t>ORD-96275</t>
  </si>
  <si>
    <t>CUST-4703</t>
  </si>
  <si>
    <t>ORD-59412</t>
  </si>
  <si>
    <t>CUST-3226</t>
  </si>
  <si>
    <t>ORD-23751</t>
  </si>
  <si>
    <t>CUST-1818</t>
  </si>
  <si>
    <t>ORD-11617</t>
  </si>
  <si>
    <t>CUST-2559</t>
  </si>
  <si>
    <t>ORD-26011</t>
  </si>
  <si>
    <t>CUST-1515</t>
  </si>
  <si>
    <t>ORD-94853</t>
  </si>
  <si>
    <t>CUST-1709</t>
  </si>
  <si>
    <t>ORD-31747</t>
  </si>
  <si>
    <t>CUST-2245</t>
  </si>
  <si>
    <t>ORD-59672</t>
  </si>
  <si>
    <t>CUST-3276</t>
  </si>
  <si>
    <t>ORD-46265</t>
  </si>
  <si>
    <t>CUST-3890</t>
  </si>
  <si>
    <t>ORD-46517</t>
  </si>
  <si>
    <t>CUST-4592</t>
  </si>
  <si>
    <t>ORD-50857</t>
  </si>
  <si>
    <t>CUST-2384</t>
  </si>
  <si>
    <t>ORD-59377</t>
  </si>
  <si>
    <t>CUST-3770</t>
  </si>
  <si>
    <t>ORD-46822</t>
  </si>
  <si>
    <t>CUST-1987</t>
  </si>
  <si>
    <t>ORD-78723</t>
  </si>
  <si>
    <t>CUST-1665</t>
  </si>
  <si>
    <t>ORD-96057</t>
  </si>
  <si>
    <t>CUST-3712</t>
  </si>
  <si>
    <t>ORD-39045</t>
  </si>
  <si>
    <t>CUST-2742</t>
  </si>
  <si>
    <t>Keyboard Mech|Accessories|InStore</t>
  </si>
  <si>
    <t>ORD-74491</t>
  </si>
  <si>
    <t>CUST-3870</t>
  </si>
  <si>
    <t>ORD-90431</t>
  </si>
  <si>
    <t>CUST-1841</t>
  </si>
  <si>
    <t>ORD-54942</t>
  </si>
  <si>
    <t>CUST-4397</t>
  </si>
  <si>
    <t>ORD-20592</t>
  </si>
  <si>
    <t>CUST-1857</t>
  </si>
  <si>
    <t>ORD-87276</t>
  </si>
  <si>
    <t>CUST-2016</t>
  </si>
  <si>
    <t>ORD-59832</t>
  </si>
  <si>
    <t>ORD-81971</t>
  </si>
  <si>
    <t>CUST-3750</t>
  </si>
  <si>
    <t>ORD-31802</t>
  </si>
  <si>
    <t>CUST-4539</t>
  </si>
  <si>
    <t>ORD-28322</t>
  </si>
  <si>
    <t>ORD-74248</t>
  </si>
  <si>
    <t>CUST-1865</t>
  </si>
  <si>
    <t>ORD-40613</t>
  </si>
  <si>
    <t>CUST-3028</t>
  </si>
  <si>
    <t>ORD-59840</t>
  </si>
  <si>
    <t>CUST-1038</t>
  </si>
  <si>
    <t>ORD-76731</t>
  </si>
  <si>
    <t>CUST-2940</t>
  </si>
  <si>
    <t>ORD-11257</t>
  </si>
  <si>
    <t>ORD-31679</t>
  </si>
  <si>
    <t>CUST-3254</t>
  </si>
  <si>
    <t>ORD-92727</t>
  </si>
  <si>
    <t>CUST-4574</t>
  </si>
  <si>
    <t>ORD-95824</t>
  </si>
  <si>
    <t>CUST-3532</t>
  </si>
  <si>
    <t>ORD-47171</t>
  </si>
  <si>
    <t>CUST-1407</t>
  </si>
  <si>
    <t>ORD-84302</t>
  </si>
  <si>
    <t>CUST-1935</t>
  </si>
  <si>
    <t>ORD-28894</t>
  </si>
  <si>
    <t>CUST-3661</t>
  </si>
  <si>
    <t>ORD-80468</t>
  </si>
  <si>
    <t>CUST-1646</t>
  </si>
  <si>
    <t>Standard Price (₦)</t>
  </si>
  <si>
    <t>Supplier</t>
  </si>
  <si>
    <t>Warranty (Months)</t>
  </si>
  <si>
    <t>SKU</t>
  </si>
  <si>
    <t>Target (₦)</t>
  </si>
  <si>
    <t>TechGlobal Ltd</t>
  </si>
  <si>
    <t>SKU-1000</t>
  </si>
  <si>
    <t>MobileMaster NG</t>
  </si>
  <si>
    <t>SKU-1001</t>
  </si>
  <si>
    <t>SKU-1002</t>
  </si>
  <si>
    <t>SoundWave Co</t>
  </si>
  <si>
    <t>SKU-1003</t>
  </si>
  <si>
    <t>VisualTech Ltd</t>
  </si>
  <si>
    <t>SKU-1004</t>
  </si>
  <si>
    <t>InputPro NG</t>
  </si>
  <si>
    <t>SKU-1005</t>
  </si>
  <si>
    <t>SKU-1006</t>
  </si>
  <si>
    <t>SKU-1007</t>
  </si>
  <si>
    <t>Revenue (₦)</t>
  </si>
  <si>
    <t>Discounted Revenue (₦)</t>
  </si>
  <si>
    <t>VAT 7.5% (₦)</t>
  </si>
  <si>
    <t>Net Revenue (₦)</t>
  </si>
  <si>
    <t>Category (XLOOKUP)</t>
  </si>
  <si>
    <t>Warranty (INDEX-MATCH)</t>
  </si>
  <si>
    <t>TOTALS</t>
  </si>
  <si>
    <t>N/A</t>
  </si>
  <si>
    <t>None</t>
  </si>
  <si>
    <t>Product_Clean</t>
  </si>
  <si>
    <t>Category_Clean</t>
  </si>
  <si>
    <t>Channel_Clean</t>
  </si>
  <si>
    <t>Total Revenue By Region</t>
  </si>
  <si>
    <t>Revenue</t>
  </si>
  <si>
    <t>Discount</t>
  </si>
  <si>
    <t>Net Revenue</t>
  </si>
  <si>
    <t>Count Of Completed Orders By Sales Rep</t>
  </si>
  <si>
    <t>Avg Unit Price For Electronics In the North Region</t>
  </si>
  <si>
    <t xml:space="preserve">Weighted Average Discount Across all Orders </t>
  </si>
  <si>
    <t>Top 5 Orders</t>
  </si>
  <si>
    <t>Bottom 5 Revenue Orders</t>
  </si>
  <si>
    <t>Row Labels</t>
  </si>
  <si>
    <t>Grand Total</t>
  </si>
  <si>
    <t>Column Labels</t>
  </si>
  <si>
    <t>Revenue By Sales Rep and Region</t>
  </si>
  <si>
    <t>Count of Order ID</t>
  </si>
  <si>
    <t>Product Insights</t>
  </si>
  <si>
    <t>January</t>
  </si>
  <si>
    <t>February</t>
  </si>
  <si>
    <t>March</t>
  </si>
  <si>
    <t>April</t>
  </si>
  <si>
    <t>May</t>
  </si>
  <si>
    <t>June</t>
  </si>
  <si>
    <t>July</t>
  </si>
  <si>
    <t>August</t>
  </si>
  <si>
    <t>September</t>
  </si>
  <si>
    <t>October</t>
  </si>
  <si>
    <t>November</t>
  </si>
  <si>
    <t>December</t>
  </si>
  <si>
    <t>Monthly Revenue By Channel</t>
  </si>
  <si>
    <t>Revenue By Region</t>
  </si>
  <si>
    <t>Monthly Revenue Trend</t>
  </si>
  <si>
    <t>Revenue By Channel</t>
  </si>
  <si>
    <t>Top 5 Revenue By Sales Rep</t>
  </si>
  <si>
    <t>Insights</t>
  </si>
  <si>
    <t>KPIs</t>
  </si>
  <si>
    <t>Supplier Name</t>
  </si>
  <si>
    <t>Unit Price Clean</t>
  </si>
  <si>
    <t>Sum of Unit Price Clean</t>
  </si>
  <si>
    <t>Total Revenue</t>
  </si>
  <si>
    <t>Total Orders</t>
  </si>
  <si>
    <t>Orders</t>
  </si>
  <si>
    <t>Return Rate</t>
  </si>
  <si>
    <t>Status By Orders</t>
  </si>
  <si>
    <t>Revenue By Category</t>
  </si>
  <si>
    <t>Total Discount</t>
  </si>
  <si>
    <t>Jan</t>
  </si>
  <si>
    <t>Feb</t>
  </si>
  <si>
    <t>Mar</t>
  </si>
  <si>
    <t>Apr</t>
  </si>
  <si>
    <t>Jun</t>
  </si>
  <si>
    <t>Jul</t>
  </si>
  <si>
    <t>Aug</t>
  </si>
  <si>
    <t>Sept</t>
  </si>
  <si>
    <t>Oct</t>
  </si>
  <si>
    <t>Nov</t>
  </si>
  <si>
    <t>Dec</t>
  </si>
  <si>
    <t>AOV</t>
  </si>
  <si>
    <t>Qty Sold</t>
  </si>
  <si>
    <t>#5E82A6</t>
  </si>
  <si>
    <t>#96ADC4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</si>
</sst>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470]#,##0"/>
    <numFmt numFmtId="166" formatCode="_(* #,##0_);_(* \(#,##0\);_(* &quot;-&quot;??_);_(@_)"/>
    <numFmt numFmtId="167" formatCode="[&gt;=1000000]\₦0.00,,\ \M;\₦0.00,\ \K"/>
    <numFmt numFmtId="168" formatCode="[&gt;=1000000]&quot;$&quot;0.00,,\ \M;0.000,\ \K"/>
    <numFmt numFmtId="169" formatCode="[&gt;=1000000]&quot;$&quot;0.00,,\ \M;0.00,\ \K"/>
  </numFmts>
  <fonts count="16" x14ac:knownFonts="1">
    <font>
      <sz val="11"/>
      <color theme="1"/>
      <name val="Calibri"/>
      <family val="2"/>
      <charset val="1"/>
    </font>
    <font>
      <b/>
      <sz val="16"/>
      <color rgb="FFFFFFFF"/>
      <name val="Arial"/>
      <family val="2"/>
    </font>
    <font>
      <b/>
      <sz val="11"/>
      <color rgb="FF145A32"/>
      <name val="Arial"/>
      <family val="2"/>
    </font>
    <font>
      <sz val="10"/>
      <name val="Arial"/>
      <family val="2"/>
    </font>
    <font>
      <b/>
      <sz val="11"/>
      <color rgb="FFFFFFFF"/>
      <name val="Arial"/>
      <family val="2"/>
    </font>
    <font>
      <i/>
      <sz val="9"/>
      <color rgb="FF7B241C"/>
      <name val="Arial"/>
      <family val="2"/>
    </font>
    <font>
      <b/>
      <sz val="10"/>
      <color rgb="FFFFFFFF"/>
      <name val="Arial"/>
      <family val="2"/>
    </font>
    <font>
      <sz val="9"/>
      <name val="Arial"/>
      <family val="2"/>
    </font>
    <font>
      <b/>
      <sz val="10"/>
      <name val="Arial"/>
      <family val="2"/>
    </font>
    <font>
      <sz val="8"/>
      <name val="Calibri"/>
      <family val="2"/>
      <charset val="1"/>
    </font>
    <font>
      <sz val="10"/>
      <name val="Aptos Display"/>
      <family val="2"/>
    </font>
    <font>
      <b/>
      <sz val="10"/>
      <name val="Aptos"/>
      <family val="2"/>
    </font>
    <font>
      <b/>
      <sz val="11"/>
      <color theme="1"/>
      <name val="Calibri"/>
      <family val="2"/>
    </font>
    <font>
      <b/>
      <sz val="10"/>
      <name val="Aptos Display"/>
      <family val="2"/>
    </font>
    <font>
      <b/>
      <sz val="12"/>
      <color theme="1"/>
      <name val="Candara"/>
      <family val="2"/>
    </font>
    <font>
      <sz val="10"/>
      <name val="Arial"/>
    </font>
  </fonts>
  <fills count="14">
    <fill>
      <patternFill patternType="none"/>
    </fill>
    <fill>
      <patternFill patternType="gray125"/>
    </fill>
    <fill>
      <patternFill patternType="solid">
        <fgColor rgb="FF1F3864"/>
        <bgColor rgb="FF333399"/>
      </patternFill>
    </fill>
    <fill>
      <patternFill patternType="solid">
        <fgColor rgb="FF145A32"/>
        <bgColor rgb="FF1F3864"/>
      </patternFill>
    </fill>
    <fill>
      <patternFill patternType="solid">
        <fgColor rgb="FFFDFEFE"/>
        <bgColor rgb="FFFFFFFF"/>
      </patternFill>
    </fill>
    <fill>
      <patternFill patternType="solid">
        <fgColor rgb="FFEBF0FA"/>
        <bgColor rgb="FFF4ECF7"/>
      </patternFill>
    </fill>
    <fill>
      <patternFill patternType="solid">
        <fgColor rgb="FF7B241C"/>
        <bgColor rgb="FF800000"/>
      </patternFill>
    </fill>
    <fill>
      <patternFill patternType="solid">
        <fgColor rgb="FF4A235A"/>
        <bgColor rgb="FF333399"/>
      </patternFill>
    </fill>
    <fill>
      <patternFill patternType="solid">
        <fgColor rgb="FFF4ECF7"/>
        <bgColor rgb="FFEBF0FA"/>
      </patternFill>
    </fill>
    <fill>
      <patternFill patternType="solid">
        <fgColor theme="0"/>
        <bgColor rgb="FF333399"/>
      </patternFill>
    </fill>
    <fill>
      <patternFill patternType="solid">
        <fgColor theme="0"/>
        <bgColor rgb="FFF4ECF7"/>
      </patternFill>
    </fill>
    <fill>
      <patternFill patternType="solid">
        <fgColor theme="0"/>
        <bgColor indexed="64"/>
      </patternFill>
    </fill>
    <fill>
      <patternFill patternType="solid">
        <fgColor theme="0"/>
        <bgColor rgb="FFEBF0FA"/>
      </patternFill>
    </fill>
    <fill>
      <patternFill patternType="solid">
        <fgColor theme="0" tint="-0.499984740745262"/>
        <bgColor indexed="64"/>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s>
  <cellStyleXfs count="1">
    <xf numFmtId="0" fontId="0" fillId="0" borderId="0"/>
  </cellStyleXfs>
  <cellXfs count="82">
    <xf numFmtId="0" fontId="0" fillId="0" borderId="0" xfId="0"/>
    <xf numFmtId="0" fontId="2" fillId="0" borderId="0" xfId="0" applyFont="1"/>
    <xf numFmtId="0" fontId="3" fillId="0" borderId="0" xfId="0" applyFont="1" applyAlignment="1">
      <alignment wrapText="1"/>
    </xf>
    <xf numFmtId="0" fontId="4" fillId="3" borderId="0" xfId="0" applyFont="1" applyFill="1" applyAlignment="1">
      <alignment vertical="center"/>
    </xf>
    <xf numFmtId="0" fontId="3" fillId="0" borderId="0" xfId="0" applyFont="1" applyAlignment="1">
      <alignment vertical="top" wrapText="1"/>
    </xf>
    <xf numFmtId="0" fontId="5" fillId="4" borderId="0" xfId="0" applyFont="1" applyFill="1" applyAlignment="1">
      <alignment wrapText="1"/>
    </xf>
    <xf numFmtId="0" fontId="6" fillId="2" borderId="1" xfId="0" applyFont="1" applyFill="1" applyBorder="1" applyAlignment="1">
      <alignment horizontal="center" vertical="center" wrapText="1"/>
    </xf>
    <xf numFmtId="0" fontId="7" fillId="5" borderId="1" xfId="0" applyFont="1" applyFill="1" applyBorder="1" applyAlignment="1">
      <alignment horizontal="left" vertical="center"/>
    </xf>
    <xf numFmtId="164" fontId="7" fillId="5" borderId="1" xfId="0" applyNumberFormat="1" applyFont="1" applyFill="1" applyBorder="1" applyAlignment="1">
      <alignment horizontal="left" vertical="center"/>
    </xf>
    <xf numFmtId="3" fontId="7" fillId="5" borderId="1" xfId="0" applyNumberFormat="1" applyFont="1" applyFill="1" applyBorder="1" applyAlignment="1">
      <alignment horizontal="left" vertical="center"/>
    </xf>
    <xf numFmtId="0" fontId="7" fillId="0" borderId="1" xfId="0" applyFont="1" applyBorder="1" applyAlignment="1">
      <alignment horizontal="left" vertical="center"/>
    </xf>
    <xf numFmtId="164" fontId="7" fillId="0" borderId="1" xfId="0" applyNumberFormat="1" applyFont="1" applyBorder="1" applyAlignment="1">
      <alignment horizontal="left" vertical="center"/>
    </xf>
    <xf numFmtId="3" fontId="7" fillId="0" borderId="1" xfId="0" applyNumberFormat="1" applyFont="1" applyBorder="1" applyAlignment="1">
      <alignment horizontal="left" vertical="center"/>
    </xf>
    <xf numFmtId="0" fontId="6" fillId="3" borderId="1" xfId="0" applyFont="1" applyFill="1" applyBorder="1" applyAlignment="1">
      <alignment horizontal="center" vertical="center"/>
    </xf>
    <xf numFmtId="0" fontId="6" fillId="6" borderId="1" xfId="0" applyFont="1" applyFill="1" applyBorder="1" applyAlignment="1">
      <alignment horizontal="center"/>
    </xf>
    <xf numFmtId="0" fontId="7" fillId="0" borderId="1" xfId="0" applyFont="1" applyBorder="1"/>
    <xf numFmtId="3" fontId="7" fillId="0" borderId="1" xfId="0" applyNumberFormat="1" applyFont="1" applyBorder="1"/>
    <xf numFmtId="0" fontId="6" fillId="7" borderId="1" xfId="0" applyFont="1" applyFill="1" applyBorder="1" applyAlignment="1">
      <alignment horizontal="center" vertical="center" wrapText="1"/>
    </xf>
    <xf numFmtId="0" fontId="7" fillId="8" borderId="1" xfId="0" applyFont="1" applyFill="1" applyBorder="1" applyAlignment="1">
      <alignment horizontal="left"/>
    </xf>
    <xf numFmtId="3" fontId="7" fillId="8" borderId="1" xfId="0" applyNumberFormat="1" applyFont="1" applyFill="1" applyBorder="1" applyAlignment="1">
      <alignment horizontal="left"/>
    </xf>
    <xf numFmtId="0" fontId="7" fillId="0" borderId="1" xfId="0" applyFont="1" applyBorder="1" applyAlignment="1">
      <alignment horizontal="left"/>
    </xf>
    <xf numFmtId="3" fontId="7" fillId="0" borderId="1" xfId="0" applyNumberFormat="1" applyFont="1" applyBorder="1" applyAlignment="1">
      <alignment horizontal="left"/>
    </xf>
    <xf numFmtId="0" fontId="4" fillId="2" borderId="0" xfId="0" applyFont="1" applyFill="1"/>
    <xf numFmtId="3" fontId="4" fillId="2" borderId="1" xfId="0" applyNumberFormat="1" applyFont="1" applyFill="1" applyBorder="1"/>
    <xf numFmtId="14" fontId="0" fillId="0" borderId="0" xfId="0" applyNumberFormat="1" applyAlignment="1">
      <alignment horizontal="left"/>
    </xf>
    <xf numFmtId="1" fontId="0" fillId="0" borderId="0" xfId="0" applyNumberFormat="1"/>
    <xf numFmtId="1" fontId="0" fillId="0" borderId="0" xfId="0" applyNumberFormat="1" applyAlignment="1">
      <alignment horizontal="left"/>
    </xf>
    <xf numFmtId="0" fontId="10" fillId="0" borderId="0" xfId="0" applyFont="1" applyAlignment="1">
      <alignment horizontal="left" vertical="center"/>
    </xf>
    <xf numFmtId="0" fontId="10" fillId="0" borderId="1" xfId="0" applyFont="1" applyBorder="1" applyAlignment="1">
      <alignment horizontal="left" vertical="center"/>
    </xf>
    <xf numFmtId="0" fontId="11" fillId="9" borderId="4" xfId="0" applyFont="1" applyFill="1" applyBorder="1" applyAlignment="1">
      <alignment horizontal="left" vertical="center"/>
    </xf>
    <xf numFmtId="14" fontId="11" fillId="9" borderId="5" xfId="0" applyNumberFormat="1" applyFont="1" applyFill="1" applyBorder="1" applyAlignment="1">
      <alignment horizontal="left" vertical="center"/>
    </xf>
    <xf numFmtId="0" fontId="11" fillId="9" borderId="5" xfId="0" applyFont="1" applyFill="1" applyBorder="1" applyAlignment="1">
      <alignment horizontal="left" vertical="center"/>
    </xf>
    <xf numFmtId="1" fontId="11" fillId="9" borderId="5" xfId="0" applyNumberFormat="1" applyFont="1" applyFill="1" applyBorder="1" applyAlignment="1">
      <alignment horizontal="left" vertical="center"/>
    </xf>
    <xf numFmtId="0" fontId="11" fillId="9" borderId="6" xfId="0" applyFont="1" applyFill="1" applyBorder="1" applyAlignment="1">
      <alignment horizontal="left" vertical="center"/>
    </xf>
    <xf numFmtId="3" fontId="0" fillId="2" borderId="1" xfId="0" applyNumberFormat="1" applyFill="1" applyBorder="1"/>
    <xf numFmtId="165" fontId="0" fillId="0" borderId="0" xfId="0" applyNumberFormat="1"/>
    <xf numFmtId="165" fontId="0" fillId="2" borderId="1" xfId="0" applyNumberFormat="1" applyFill="1" applyBorder="1"/>
    <xf numFmtId="0" fontId="12" fillId="0" borderId="0" xfId="0" applyFont="1"/>
    <xf numFmtId="0" fontId="10" fillId="10" borderId="1" xfId="0" applyFont="1" applyFill="1" applyBorder="1" applyAlignment="1">
      <alignment horizontal="left" vertical="center"/>
    </xf>
    <xf numFmtId="0" fontId="10" fillId="11" borderId="1" xfId="0" applyFont="1" applyFill="1" applyBorder="1" applyAlignment="1">
      <alignment horizontal="left" vertical="center"/>
    </xf>
    <xf numFmtId="0" fontId="13" fillId="10" borderId="0" xfId="0" applyFont="1" applyFill="1" applyAlignment="1">
      <alignment horizontal="left" vertical="center"/>
    </xf>
    <xf numFmtId="0" fontId="0" fillId="0" borderId="0" xfId="0" pivotButton="1"/>
    <xf numFmtId="0" fontId="0" fillId="0" borderId="0" xfId="0" applyAlignment="1">
      <alignment horizontal="left"/>
    </xf>
    <xf numFmtId="0" fontId="10" fillId="10" borderId="3" xfId="0" applyFont="1" applyFill="1" applyBorder="1" applyAlignment="1">
      <alignment horizontal="left" vertical="center"/>
    </xf>
    <xf numFmtId="0" fontId="10" fillId="10" borderId="2" xfId="0" applyFont="1" applyFill="1" applyBorder="1" applyAlignment="1">
      <alignment horizontal="left" vertical="center"/>
    </xf>
    <xf numFmtId="14" fontId="10" fillId="10" borderId="1" xfId="0" applyNumberFormat="1" applyFont="1" applyFill="1" applyBorder="1" applyAlignment="1">
      <alignment horizontal="left" vertical="center"/>
    </xf>
    <xf numFmtId="1" fontId="10" fillId="10" borderId="1" xfId="0" applyNumberFormat="1" applyFont="1" applyFill="1" applyBorder="1" applyAlignment="1">
      <alignment horizontal="left" vertical="center"/>
    </xf>
    <xf numFmtId="165" fontId="10" fillId="10" borderId="1" xfId="0" applyNumberFormat="1" applyFont="1" applyFill="1" applyBorder="1" applyAlignment="1">
      <alignment horizontal="left" vertical="center"/>
    </xf>
    <xf numFmtId="0" fontId="10" fillId="11" borderId="2" xfId="0" applyFont="1" applyFill="1" applyBorder="1" applyAlignment="1">
      <alignment horizontal="left" vertical="center"/>
    </xf>
    <xf numFmtId="14"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left" vertical="center"/>
    </xf>
    <xf numFmtId="165" fontId="10" fillId="11" borderId="1" xfId="0" applyNumberFormat="1" applyFont="1" applyFill="1" applyBorder="1" applyAlignment="1">
      <alignment horizontal="left" vertical="center"/>
    </xf>
    <xf numFmtId="0" fontId="10" fillId="11" borderId="3" xfId="0" applyFont="1" applyFill="1" applyBorder="1" applyAlignment="1">
      <alignment horizontal="left" vertical="center"/>
    </xf>
    <xf numFmtId="0" fontId="8" fillId="11" borderId="4" xfId="0" applyFont="1" applyFill="1" applyBorder="1" applyAlignment="1">
      <alignment horizontal="left" vertical="center"/>
    </xf>
    <xf numFmtId="0" fontId="8" fillId="11" borderId="5" xfId="0" applyFont="1" applyFill="1" applyBorder="1" applyAlignment="1">
      <alignment horizontal="left" vertical="center"/>
    </xf>
    <xf numFmtId="165" fontId="8" fillId="11" borderId="5" xfId="0" applyNumberFormat="1" applyFont="1" applyFill="1" applyBorder="1" applyAlignment="1">
      <alignment horizontal="left" vertical="center"/>
    </xf>
    <xf numFmtId="0" fontId="8" fillId="11" borderId="6" xfId="0" applyFont="1" applyFill="1" applyBorder="1" applyAlignment="1">
      <alignment horizontal="left" vertical="center"/>
    </xf>
    <xf numFmtId="0" fontId="7" fillId="12" borderId="2" xfId="0" applyFont="1" applyFill="1" applyBorder="1" applyAlignment="1">
      <alignment horizontal="left"/>
    </xf>
    <xf numFmtId="0" fontId="7" fillId="12" borderId="1" xfId="0" applyFont="1" applyFill="1" applyBorder="1" applyAlignment="1">
      <alignment horizontal="left"/>
    </xf>
    <xf numFmtId="165" fontId="7" fillId="12" borderId="1" xfId="0" applyNumberFormat="1" applyFont="1" applyFill="1" applyBorder="1" applyAlignment="1">
      <alignment horizontal="left"/>
    </xf>
    <xf numFmtId="0" fontId="7" fillId="12" borderId="3" xfId="0" applyFont="1" applyFill="1" applyBorder="1" applyAlignment="1">
      <alignment horizontal="left"/>
    </xf>
    <xf numFmtId="0" fontId="7" fillId="11" borderId="0" xfId="0" applyFont="1" applyFill="1" applyAlignment="1">
      <alignment horizontal="left"/>
    </xf>
    <xf numFmtId="0" fontId="7" fillId="11" borderId="2" xfId="0" applyFont="1" applyFill="1" applyBorder="1" applyAlignment="1">
      <alignment horizontal="left"/>
    </xf>
    <xf numFmtId="0" fontId="7" fillId="11" borderId="1" xfId="0" applyFont="1" applyFill="1" applyBorder="1" applyAlignment="1">
      <alignment horizontal="left"/>
    </xf>
    <xf numFmtId="165" fontId="7" fillId="11" borderId="1" xfId="0" applyNumberFormat="1" applyFont="1" applyFill="1" applyBorder="1" applyAlignment="1">
      <alignment horizontal="left"/>
    </xf>
    <xf numFmtId="0" fontId="7" fillId="11" borderId="3" xfId="0" applyFont="1" applyFill="1" applyBorder="1" applyAlignment="1">
      <alignment horizontal="left"/>
    </xf>
    <xf numFmtId="0" fontId="0" fillId="13" borderId="0" xfId="0" applyFill="1"/>
    <xf numFmtId="167" fontId="0" fillId="0" borderId="0" xfId="0" applyNumberFormat="1"/>
    <xf numFmtId="167" fontId="14" fillId="11" borderId="0" xfId="0" applyNumberFormat="1" applyFont="1" applyFill="1" applyAlignment="1">
      <alignment horizontal="left" vertical="center"/>
    </xf>
    <xf numFmtId="0" fontId="14" fillId="11" borderId="0" xfId="0" applyFont="1" applyFill="1"/>
    <xf numFmtId="168" fontId="14" fillId="11" borderId="0" xfId="0" applyNumberFormat="1" applyFont="1" applyFill="1" applyAlignment="1">
      <alignment horizontal="left" vertical="center"/>
    </xf>
    <xf numFmtId="10" fontId="14" fillId="11" borderId="0" xfId="0" applyNumberFormat="1" applyFont="1" applyFill="1" applyAlignment="1">
      <alignment horizontal="left" vertical="center"/>
    </xf>
    <xf numFmtId="169" fontId="14" fillId="11" borderId="0" xfId="0" applyNumberFormat="1" applyFont="1" applyFill="1" applyAlignment="1">
      <alignment horizontal="left" vertical="center"/>
    </xf>
    <xf numFmtId="0" fontId="1" fillId="2" borderId="0" xfId="0" applyFont="1" applyFill="1" applyAlignment="1">
      <alignment horizontal="center" vertical="center"/>
    </xf>
    <xf numFmtId="165" fontId="0" fillId="0" borderId="0" xfId="0" applyNumberFormat="1" applyFont="1" applyFill="1"/>
    <xf numFmtId="166" fontId="15" fillId="0" borderId="0" xfId="0" applyNumberFormat="1" applyFont="1" applyFill="1"/>
    <xf numFmtId="167" fontId="0" fillId="0" borderId="0" xfId="0" applyNumberFormat="1" applyFont="1" applyFill="1"/>
    <xf numFmtId="167" fontId="0" fillId="0" borderId="0" xfId="0" applyNumberFormat="1" applyFont="1"/>
    <xf numFmtId="167" fontId="15" fillId="0" borderId="0" xfId="0" applyNumberFormat="1" applyFont="1" applyFill="1"/>
    <xf numFmtId="1" fontId="0" fillId="0" borderId="0" xfId="0" applyNumberFormat="1" applyFont="1" applyFill="1"/>
    <xf numFmtId="1" fontId="15" fillId="0" borderId="0" xfId="0" applyNumberFormat="1" applyFont="1" applyFill="1"/>
    <xf numFmtId="10" fontId="0" fillId="0" borderId="0" xfId="0" applyNumberFormat="1" applyFont="1" applyFill="1"/>
  </cellXfs>
  <cellStyles count="1">
    <cellStyle name="Normal" xfId="0" builtinId="0"/>
  </cellStyles>
  <dxfs count="379">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numFmt numFmtId="165" formatCode="[$₦-470]#,##0"/>
    </dxf>
    <dxf>
      <numFmt numFmtId="165" formatCode="[$₦-470]#,##0"/>
    </dxf>
    <dxf>
      <numFmt numFmtId="165" formatCode="[$₦-470]#,##0"/>
    </dxf>
    <dxf>
      <numFmt numFmtId="165" formatCode="[$₦-470]#,##0"/>
    </dxf>
    <dxf>
      <numFmt numFmtId="165" formatCode="[$₦-470]#,##0"/>
    </dxf>
    <dxf>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 formatCode="0"/>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font>
        <b val="0"/>
        <i val="0"/>
        <strike val="0"/>
        <condense val="0"/>
        <extend val="0"/>
        <outline val="0"/>
        <shadow val="0"/>
        <u val="none"/>
        <vertAlign val="baseline"/>
        <sz val="11"/>
        <color theme="1"/>
        <name val="Calibri"/>
        <family val="2"/>
        <charset val="1"/>
        <scheme val="none"/>
      </font>
      <numFmt numFmtId="165" formatCode="[$₦-470]#,##0"/>
    </dxf>
    <dxf>
      <numFmt numFmtId="167" formatCode="[&gt;=1000000]\₦0.00,,\ \M;\₦0.00,\ \K"/>
    </dxf>
    <dxf>
      <numFmt numFmtId="167" formatCode="[&gt;=1000000]\₦0.00,,\ \M;\₦0.00,\ \K"/>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
        <scheme val="none"/>
      </font>
      <numFmt numFmtId="165" formatCode="[$₦-470]#,##0"/>
    </dxf>
    <dxf>
      <numFmt numFmtId="14" formatCode="0.00%"/>
    </dxf>
    <dxf>
      <font>
        <color rgb="FF006100"/>
      </font>
      <fill>
        <patternFill>
          <bgColor rgb="FF00B050"/>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auto="1"/>
        <name val="Arial"/>
        <charset val="1"/>
        <scheme val="none"/>
      </font>
      <numFmt numFmtId="0" formatCode="General"/>
      <fill>
        <patternFill>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auto="1"/>
        <name val="Arial"/>
        <charset val="1"/>
        <scheme val="none"/>
      </font>
      <fill>
        <patternFill>
          <bgColor theme="0"/>
        </patternFill>
      </fill>
      <alignment horizontal="left" vertical="bottom" textRotation="0" wrapText="0" indent="0" justifyLastLine="0" shrinkToFit="0" readingOrder="0"/>
      <border diagonalUp="0" diagonalDown="0" outline="0">
        <left style="thin">
          <color rgb="FFCCCCCC"/>
        </left>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numFmt numFmtId="0" formatCode="General"/>
      <fill>
        <patternFill>
          <bgColor theme="0"/>
        </patternFill>
      </fill>
      <alignment horizontal="left" vertical="bottom" textRotation="0" wrapText="0" indent="0" justifyLastLine="0" shrinkToFit="0" readingOrder="0"/>
      <border diagonalUp="0" diagonalDown="0" outline="0">
        <left style="thin">
          <color rgb="FFCCCCCC"/>
        </left>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numFmt numFmtId="0" formatCode="General"/>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numFmt numFmtId="165" formatCode="[$₦-470]#,##0"/>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numFmt numFmtId="165" formatCode="[$₦-470]#,##0"/>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numFmt numFmtId="165" formatCode="[$₦-470]#,##0"/>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numFmt numFmtId="165" formatCode="[$₦-470]#,##0"/>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numFmt numFmtId="165" formatCode="[$₦-470]#,##0"/>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fill>
        <patternFill>
          <bgColor theme="0"/>
        </patternFill>
      </fill>
      <alignment horizontal="left"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fill>
        <patternFill>
          <bgColor theme="0"/>
        </patternFill>
      </fill>
      <alignment horizontal="left" vertical="bottom" textRotation="0" wrapText="0" indent="0" justifyLastLine="0" shrinkToFit="0" readingOrder="0"/>
      <border diagonalUp="0" diagonalDown="0" outline="0">
        <left/>
        <right style="thin">
          <color rgb="FFCCCCCC"/>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fill>
        <patternFill>
          <bgColor theme="0"/>
        </patternFill>
      </fill>
      <alignment horizontal="left" vertical="bottom" textRotation="0" wrapText="0" indent="0" justifyLastLine="0" shrinkToFit="0" readingOrder="0"/>
    </dxf>
    <dxf>
      <border outline="0">
        <bottom style="thin">
          <color rgb="FFCCCCCC"/>
        </bottom>
      </border>
    </dxf>
    <dxf>
      <font>
        <b/>
        <i val="0"/>
        <strike val="0"/>
        <condense val="0"/>
        <extend val="0"/>
        <outline val="0"/>
        <shadow val="0"/>
        <u val="none"/>
        <vertAlign val="baseline"/>
        <sz val="10"/>
        <color auto="1"/>
        <name val="Arial"/>
        <family val="2"/>
        <scheme val="none"/>
      </font>
      <fill>
        <patternFill patternType="none">
          <fgColor indexed="64"/>
          <bgColor theme="0"/>
        </patternFill>
      </fill>
      <alignment horizontal="left" vertical="center" textRotation="0" wrapText="0"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Aptos Display"/>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ptos Display"/>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numFmt numFmtId="165" formatCode="[$₦-470]#,##0"/>
      <fill>
        <patternFill patternType="solid">
          <fgColor indexed="64"/>
          <bgColor theme="0"/>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ptos Display"/>
        <family val="2"/>
        <scheme val="none"/>
      </font>
      <numFmt numFmtId="165" formatCode="[$₦-470]#,##0"/>
      <fill>
        <patternFill patternType="solid">
          <fgColor indexed="64"/>
          <bgColor theme="0"/>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numFmt numFmtId="165" formatCode="[$₦-470]#,##0"/>
      <fill>
        <patternFill patternType="solid">
          <fgColor indexed="64"/>
          <bgColor theme="0"/>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ptos Display"/>
        <family val="2"/>
        <scheme val="none"/>
      </font>
      <numFmt numFmtId="165" formatCode="[$₦-470]#,##0"/>
      <fill>
        <patternFill patternType="solid">
          <fgColor indexed="64"/>
          <bgColor theme="0"/>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ptos Display"/>
        <family val="2"/>
        <scheme val="none"/>
      </font>
      <numFmt numFmtId="165" formatCode="[$₦-470]#,##0"/>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numFmt numFmtId="1" formatCode="0"/>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numFmt numFmtId="19" formatCode="m/d/yyyy"/>
      <fill>
        <patternFill>
          <bgColor theme="0"/>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fill>
        <patternFill>
          <bgColor theme="0"/>
        </patternFill>
      </fill>
      <alignment horizontal="left" vertical="center" textRotation="0" wrapText="0" indent="0" justifyLastLine="0" shrinkToFit="0" readingOrder="0"/>
      <border diagonalUp="0" diagonalDown="0" outline="0">
        <left/>
        <right style="thin">
          <color rgb="FFCCCCCC"/>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ptos Display"/>
        <family val="2"/>
        <scheme val="none"/>
      </font>
      <alignment horizontal="left"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0"/>
        <color auto="1"/>
        <name val="Aptos"/>
        <family val="2"/>
        <scheme val="none"/>
      </font>
      <fill>
        <patternFill patternType="solid">
          <fgColor rgb="FF333399"/>
          <bgColor theme="0"/>
        </patternFill>
      </fill>
      <alignment horizontal="left" vertical="center" textRotation="0" wrapText="0" indent="0" justifyLastLine="0" shrinkToFit="0" readingOrder="0"/>
      <border diagonalUp="0" diagonalDown="0" outline="0">
        <left style="thin">
          <color rgb="FFCCCCCC"/>
        </left>
        <right style="thin">
          <color rgb="FFCCCCCC"/>
        </right>
        <top/>
        <bottom/>
      </border>
    </dxf>
    <dxf>
      <font>
        <b/>
        <color theme="1"/>
      </font>
      <border>
        <bottom style="thin">
          <color theme="4"/>
        </bottom>
        <vertical/>
        <horizontal/>
      </border>
    </dxf>
    <dxf>
      <font>
        <b/>
        <i val="0"/>
        <sz val="20"/>
        <color theme="0"/>
      </font>
      <fill>
        <patternFill>
          <bgColor rgb="FF5E82A6"/>
        </patternFill>
      </fill>
      <border>
        <left style="thin">
          <color theme="4"/>
        </left>
        <right style="thin">
          <color theme="4"/>
        </right>
        <top style="thin">
          <color theme="4"/>
        </top>
        <bottom style="thin">
          <color theme="4"/>
        </bottom>
        <vertical/>
        <horizontal/>
      </border>
    </dxf>
    <dxf>
      <font>
        <sz val="36"/>
        <color theme="0"/>
      </font>
      <fill>
        <patternFill>
          <bgColor rgb="FF5E82A6"/>
        </patternFill>
      </fill>
    </dxf>
  </dxfs>
  <tableStyles count="2" defaultTableStyle="TableStyleMedium2" defaultPivotStyle="PivotStyleLight16">
    <tableStyle name="Slicer Style 1" pivot="0" table="0" count="2" xr9:uid="{D11E3C43-4364-424A-88C6-868B55189BC7}">
      <tableStyleElement type="wholeTable" dxfId="378"/>
    </tableStyle>
    <tableStyle name="SlicerStyleLight1 2" pivot="0" table="0" count="10" xr9:uid="{72E1F839-B4BB-44BC-B3C7-9DB1AFE2BA71}">
      <tableStyleElement type="wholeTable" dxfId="377"/>
      <tableStyleElement type="headerRow" dxfId="376"/>
    </tableStyle>
  </tableStyles>
  <colors>
    <indexedColors>
      <rgbColor rgb="FF000000"/>
      <rgbColor rgb="FFFFFFFF"/>
      <rgbColor rgb="FFFF0000"/>
      <rgbColor rgb="FF00FF00"/>
      <rgbColor rgb="FF0000FF"/>
      <rgbColor rgb="FFFFFF00"/>
      <rgbColor rgb="FFFF00FF"/>
      <rgbColor rgb="FF00FFFF"/>
      <rgbColor rgb="FF800000"/>
      <rgbColor rgb="FF145A32"/>
      <rgbColor rgb="FF000080"/>
      <rgbColor rgb="FF808000"/>
      <rgbColor rgb="FF800080"/>
      <rgbColor rgb="FF008080"/>
      <rgbColor rgb="FFCCCCCC"/>
      <rgbColor rgb="FF808080"/>
      <rgbColor rgb="FF9999FF"/>
      <rgbColor rgb="FF993366"/>
      <rgbColor rgb="FFFDFEFE"/>
      <rgbColor rgb="FFEB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ECF7"/>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B241C"/>
      <rgbColor rgb="FF993366"/>
      <rgbColor rgb="FF333399"/>
      <rgbColor rgb="FF4A235A"/>
      <rgbColor rgb="00003366"/>
      <rgbColor rgb="00339966"/>
      <rgbColor rgb="00003300"/>
      <rgbColor rgb="00333300"/>
      <rgbColor rgb="00993300"/>
      <rgbColor rgb="00993366"/>
      <rgbColor rgb="00333399"/>
      <rgbColor rgb="00333333"/>
    </indexedColors>
    <mruColors>
      <color rgb="FF96ADC4"/>
      <color rgb="FF5E82A6"/>
      <color rgb="FFF4F6F9"/>
      <color rgb="FFC6D3E0"/>
      <color rgb="FF7392B1"/>
      <color rgb="FFAEC0D2"/>
      <color rgb="FF8EA7C0"/>
      <color rgb="FF2C3E50"/>
      <color rgb="FF8A9A5B"/>
      <color rgb="FF6B8E23"/>
    </mruColors>
  </colors>
  <extLst>
    <ext xmlns:x14="http://schemas.microsoft.com/office/spreadsheetml/2009/9/main" uri="{46F421CA-312F-682f-3DD2-61675219B42D}">
      <x14:dxfs count="9">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0"/>
              <bgColor rgb="FF96ADC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96ADC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customXml" Target="../customXml/item4.xml"/><Relationship Id="rId21" Type="http://schemas.openxmlformats.org/officeDocument/2006/relationships/pivotCacheDefinition" Target="pivotCache/pivotCacheDefinition12.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3.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openxmlformats.org/officeDocument/2006/relationships/pivotCacheDefinition" Target="pivotCache/pivotCacheDefinition11.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[Techbridge Ltd DA Project.xlsx]Analysis!PivotTable7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E82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Analysis!$F$4</c:f>
              <c:strCache>
                <c:ptCount val="1"/>
                <c:pt idx="0">
                  <c:v>Total</c:v>
                </c:pt>
              </c:strCache>
            </c:strRef>
          </c:tx>
          <c:spPr>
            <a:solidFill>
              <a:srgbClr val="5E82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Analysis!$E$5:$E$9</c:f>
              <c:strCache>
                <c:ptCount val="4"/>
                <c:pt idx="0">
                  <c:v>East</c:v>
                </c:pt>
                <c:pt idx="1">
                  <c:v>North</c:v>
                </c:pt>
                <c:pt idx="2">
                  <c:v>South</c:v>
                </c:pt>
                <c:pt idx="3">
                  <c:v>West</c:v>
                </c:pt>
              </c:strCache>
            </c:strRef>
          </c:cat>
          <c:val>
            <c:numRef>
              <c:f>Analysis!$F$5:$F$9</c:f>
              <c:numCache>
                <c:formatCode>[&gt;=1000000]\₦0.00,,\ \M;\₦0.00,\ \K</c:formatCode>
                <c:ptCount val="4"/>
                <c:pt idx="0">
                  <c:v>153956200</c:v>
                </c:pt>
                <c:pt idx="1">
                  <c:v>146717750</c:v>
                </c:pt>
                <c:pt idx="2">
                  <c:v>98893650</c:v>
                </c:pt>
                <c:pt idx="3">
                  <c:v>63334700</c:v>
                </c:pt>
              </c:numCache>
            </c:numRef>
          </c:val>
          <c:extLst>
            <c:ext xmlns:c16="http://schemas.microsoft.com/office/drawing/2014/chart" uri="{C3380CC4-5D6E-409C-BE32-E72D297353CC}">
              <c16:uniqueId val="{00000000-A873-42D6-ADAF-EC28DB5012B3}"/>
            </c:ext>
          </c:extLst>
        </c:ser>
        <c:dLbls>
          <c:dLblPos val="outEnd"/>
          <c:showLegendKey val="0"/>
          <c:showVal val="1"/>
          <c:showCatName val="0"/>
          <c:showSerName val="0"/>
          <c:showPercent val="0"/>
          <c:showBubbleSize val="0"/>
        </c:dLbls>
        <c:gapWidth val="68"/>
        <c:axId val="1762158927"/>
        <c:axId val="1762159407"/>
      </c:barChart>
      <c:catAx>
        <c:axId val="17621589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solidFill>
                <a:latin typeface="Corbel Light" panose="020B0303020204020204" pitchFamily="34" charset="0"/>
                <a:ea typeface="+mn-ea"/>
                <a:cs typeface="+mn-cs"/>
              </a:defRPr>
            </a:pPr>
            <a:endParaRPr lang="en-US"/>
          </a:p>
        </c:txPr>
        <c:crossAx val="1762159407"/>
        <c:crosses val="autoZero"/>
        <c:auto val="1"/>
        <c:lblAlgn val="ctr"/>
        <c:lblOffset val="100"/>
        <c:noMultiLvlLbl val="0"/>
      </c:catAx>
      <c:valAx>
        <c:axId val="1762159407"/>
        <c:scaling>
          <c:orientation val="minMax"/>
        </c:scaling>
        <c:delete val="1"/>
        <c:axPos val="l"/>
        <c:numFmt formatCode="[&gt;=1000000]\₦0.00,,\ \M;\₦0.00,\ \K" sourceLinked="1"/>
        <c:majorTickMark val="none"/>
        <c:minorTickMark val="none"/>
        <c:tickLblPos val="nextTo"/>
        <c:crossAx val="17621589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[Techbridge Ltd DA Project.xlsx]Analysis!PivotTable8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B451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rgbClr val="5E82A6"/>
            </a:solidFill>
            <a:round/>
          </a:ln>
          <a:effectLst/>
        </c:spPr>
        <c:marker>
          <c:symbol val="circle"/>
          <c:size val="10"/>
          <c:spPr>
            <a:solidFill>
              <a:srgbClr val="5E82A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Analysis!$F$13</c:f>
              <c:strCache>
                <c:ptCount val="1"/>
                <c:pt idx="0">
                  <c:v>Total</c:v>
                </c:pt>
              </c:strCache>
            </c:strRef>
          </c:tx>
          <c:spPr>
            <a:ln w="31750" cap="rnd">
              <a:solidFill>
                <a:srgbClr val="5E82A6"/>
              </a:solidFill>
              <a:round/>
            </a:ln>
            <a:effectLst/>
          </c:spPr>
          <c:marker>
            <c:symbol val="circle"/>
            <c:size val="10"/>
            <c:spPr>
              <a:solidFill>
                <a:srgbClr val="5E82A6"/>
              </a:solidFill>
              <a:ln w="9525">
                <a:noFill/>
              </a:ln>
              <a:effectLst/>
            </c:spPr>
          </c:marker>
          <c:cat>
            <c:strRef>
              <c:f>Analysis!$E$14:$E$26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Analysis!$F$14:$F$26</c:f>
              <c:numCache>
                <c:formatCode>[&gt;=1000000]\₦0.00,,\ \M;\₦0.00,\ \K</c:formatCode>
                <c:ptCount val="12"/>
                <c:pt idx="0">
                  <c:v>49635800</c:v>
                </c:pt>
                <c:pt idx="1">
                  <c:v>20624150</c:v>
                </c:pt>
                <c:pt idx="2">
                  <c:v>53819600</c:v>
                </c:pt>
                <c:pt idx="3">
                  <c:v>37960500</c:v>
                </c:pt>
                <c:pt idx="4">
                  <c:v>19575650</c:v>
                </c:pt>
                <c:pt idx="5">
                  <c:v>40644250</c:v>
                </c:pt>
                <c:pt idx="6">
                  <c:v>34914400</c:v>
                </c:pt>
                <c:pt idx="7">
                  <c:v>46695850</c:v>
                </c:pt>
                <c:pt idx="8">
                  <c:v>35852750</c:v>
                </c:pt>
                <c:pt idx="9">
                  <c:v>54232000</c:v>
                </c:pt>
                <c:pt idx="10">
                  <c:v>28664000</c:v>
                </c:pt>
                <c:pt idx="11">
                  <c:v>40283350</c:v>
                </c:pt>
              </c:numCache>
            </c:numRef>
          </c:val>
          <c:smooth val="1"/>
          <c:extLst>
            <c:ext xmlns:c16="http://schemas.microsoft.com/office/drawing/2014/chart" uri="{C3380CC4-5D6E-409C-BE32-E72D297353CC}">
              <c16:uniqueId val="{00000002-270F-47FF-A972-E1571C122BE0}"/>
            </c:ext>
          </c:extLst>
        </c:ser>
        <c:dLbls>
          <c:showLegendKey val="0"/>
          <c:showVal val="0"/>
          <c:showCatName val="0"/>
          <c:showSerName val="0"/>
          <c:showPercent val="0"/>
          <c:showBubbleSize val="0"/>
        </c:dLbls>
        <c:marker val="1"/>
        <c:smooth val="0"/>
        <c:axId val="1604635727"/>
        <c:axId val="1604636687"/>
      </c:lineChart>
      <c:catAx>
        <c:axId val="16046357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solidFill>
                <a:latin typeface="Corbel Light" panose="020B0303020204020204" pitchFamily="34" charset="0"/>
                <a:ea typeface="+mn-ea"/>
                <a:cs typeface="+mn-cs"/>
              </a:defRPr>
            </a:pPr>
            <a:endParaRPr lang="en-US"/>
          </a:p>
        </c:txPr>
        <c:crossAx val="1604636687"/>
        <c:crosses val="autoZero"/>
        <c:auto val="1"/>
        <c:lblAlgn val="ctr"/>
        <c:lblOffset val="100"/>
        <c:noMultiLvlLbl val="0"/>
      </c:catAx>
      <c:valAx>
        <c:axId val="1604636687"/>
        <c:scaling>
          <c:orientation val="minMax"/>
        </c:scaling>
        <c:delete val="1"/>
        <c:axPos val="l"/>
        <c:numFmt formatCode="[&gt;=1000000]\₦0.00,,\ \M;\₦0.00,\ \K" sourceLinked="1"/>
        <c:majorTickMark val="none"/>
        <c:minorTickMark val="none"/>
        <c:tickLblPos val="nextTo"/>
        <c:crossAx val="1604635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[Techbridge Ltd DA Project.xlsx]Analysis!PivotTable9</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4F6F9"/>
          </a:solidFill>
          <a:ln w="19050">
            <a:solidFill>
              <a:schemeClr val="lt1"/>
            </a:solidFill>
          </a:ln>
          <a:effectLst/>
        </c:spPr>
        <c:dLbl>
          <c:idx val="0"/>
          <c:layout>
            <c:manualLayout>
              <c:x val="0.165067748107323"/>
              <c:y val="-7.803934763432814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422521909993042"/>
                  <c:h val="0.17487452870343834"/>
                </c:manualLayout>
              </c15:layout>
            </c:ext>
          </c:extLst>
        </c:dLbl>
      </c:pivotFmt>
      <c:pivotFmt>
        <c:idx val="11"/>
        <c:spPr>
          <a:solidFill>
            <a:srgbClr val="5E82A6"/>
          </a:solidFill>
          <a:ln w="19050">
            <a:solidFill>
              <a:schemeClr val="lt1"/>
            </a:solidFill>
          </a:ln>
          <a:effectLst/>
        </c:spPr>
        <c:dLbl>
          <c:idx val="0"/>
          <c:layout>
            <c:manualLayout>
              <c:x val="0.15859750347093549"/>
              <c:y val="6.980395999116442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458651052776623"/>
                  <c:h val="0.17487452870343834"/>
                </c:manualLayout>
              </c15:layout>
            </c:ext>
          </c:extLst>
        </c:dLbl>
      </c:pivotFmt>
      <c:pivotFmt>
        <c:idx val="12"/>
        <c:spPr>
          <a:solidFill>
            <a:srgbClr val="96ADC4"/>
          </a:solidFill>
          <a:ln w="19050">
            <a:solidFill>
              <a:schemeClr val="lt1"/>
            </a:solidFill>
          </a:ln>
          <a:effectLst/>
        </c:spPr>
        <c:dLbl>
          <c:idx val="0"/>
          <c:layout>
            <c:manualLayout>
              <c:x val="-0.1141080630288264"/>
              <c:y val="-0.1456863365725545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94694006726264"/>
                  <c:h val="0.17487452870343834"/>
                </c:manualLayout>
              </c15:layout>
            </c:ext>
          </c:extLst>
        </c:dLbl>
      </c:pivotFmt>
      <c:pivotFmt>
        <c:idx val="13"/>
        <c:spPr>
          <a:solidFill>
            <a:srgbClr val="FFFFFF">
              <a:lumMod val="65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Analysis!$F$29</c:f>
              <c:strCache>
                <c:ptCount val="1"/>
                <c:pt idx="0">
                  <c:v>Total</c:v>
                </c:pt>
              </c:strCache>
            </c:strRef>
          </c:tx>
          <c:dPt>
            <c:idx val="0"/>
            <c:bubble3D val="0"/>
            <c:spPr>
              <a:solidFill>
                <a:srgbClr val="F4F6F9"/>
              </a:solidFill>
              <a:ln w="19050">
                <a:solidFill>
                  <a:schemeClr val="lt1"/>
                </a:solidFill>
              </a:ln>
              <a:effectLst/>
            </c:spPr>
            <c:extLst>
              <c:ext xmlns:c16="http://schemas.microsoft.com/office/drawing/2014/chart" uri="{C3380CC4-5D6E-409C-BE32-E72D297353CC}">
                <c16:uniqueId val="{00000001-A1F4-4181-94C2-DD7FD54E1014}"/>
              </c:ext>
            </c:extLst>
          </c:dPt>
          <c:dPt>
            <c:idx val="1"/>
            <c:bubble3D val="0"/>
            <c:spPr>
              <a:solidFill>
                <a:srgbClr val="5E82A6"/>
              </a:solidFill>
              <a:ln w="19050">
                <a:solidFill>
                  <a:schemeClr val="lt1"/>
                </a:solidFill>
              </a:ln>
              <a:effectLst/>
            </c:spPr>
            <c:extLst>
              <c:ext xmlns:c16="http://schemas.microsoft.com/office/drawing/2014/chart" uri="{C3380CC4-5D6E-409C-BE32-E72D297353CC}">
                <c16:uniqueId val="{00000003-A1F4-4181-94C2-DD7FD54E1014}"/>
              </c:ext>
            </c:extLst>
          </c:dPt>
          <c:dPt>
            <c:idx val="2"/>
            <c:bubble3D val="0"/>
            <c:spPr>
              <a:solidFill>
                <a:srgbClr val="96ADC4"/>
              </a:solidFill>
              <a:ln w="19050">
                <a:solidFill>
                  <a:schemeClr val="lt1"/>
                </a:solidFill>
              </a:ln>
              <a:effectLst/>
            </c:spPr>
            <c:extLst>
              <c:ext xmlns:c16="http://schemas.microsoft.com/office/drawing/2014/chart" uri="{C3380CC4-5D6E-409C-BE32-E72D297353CC}">
                <c16:uniqueId val="{00000005-A1F4-4181-94C2-DD7FD54E10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F4-4181-94C2-DD7FD54E1014}"/>
              </c:ext>
            </c:extLst>
          </c:dPt>
          <c:dLbls>
            <c:dLbl>
              <c:idx val="0"/>
              <c:layout>
                <c:manualLayout>
                  <c:x val="0.165067748107323"/>
                  <c:y val="-7.8039347634328141E-2"/>
                </c:manualLayout>
              </c:layout>
              <c:showLegendKey val="0"/>
              <c:showVal val="1"/>
              <c:showCatName val="0"/>
              <c:showSerName val="0"/>
              <c:showPercent val="0"/>
              <c:showBubbleSize val="0"/>
              <c:extLst>
                <c:ext xmlns:c15="http://schemas.microsoft.com/office/drawing/2012/chart" uri="{CE6537A1-D6FC-4f65-9D91-7224C49458BB}">
                  <c15:layout>
                    <c:manualLayout>
                      <c:w val="0.27422521909993042"/>
                      <c:h val="0.17487452870343834"/>
                    </c:manualLayout>
                  </c15:layout>
                </c:ext>
                <c:ext xmlns:c16="http://schemas.microsoft.com/office/drawing/2014/chart" uri="{C3380CC4-5D6E-409C-BE32-E72D297353CC}">
                  <c16:uniqueId val="{00000001-A1F4-4181-94C2-DD7FD54E1014}"/>
                </c:ext>
              </c:extLst>
            </c:dLbl>
            <c:dLbl>
              <c:idx val="1"/>
              <c:layout>
                <c:manualLayout>
                  <c:x val="0.15859750347093549"/>
                  <c:y val="6.9803959991164427E-2"/>
                </c:manualLayout>
              </c:layout>
              <c:showLegendKey val="0"/>
              <c:showVal val="1"/>
              <c:showCatName val="0"/>
              <c:showSerName val="0"/>
              <c:showPercent val="0"/>
              <c:showBubbleSize val="0"/>
              <c:extLst>
                <c:ext xmlns:c15="http://schemas.microsoft.com/office/drawing/2012/chart" uri="{CE6537A1-D6FC-4f65-9D91-7224C49458BB}">
                  <c15:layout>
                    <c:manualLayout>
                      <c:w val="0.24458651052776623"/>
                      <c:h val="0.17487452870343834"/>
                    </c:manualLayout>
                  </c15:layout>
                </c:ext>
                <c:ext xmlns:c16="http://schemas.microsoft.com/office/drawing/2014/chart" uri="{C3380CC4-5D6E-409C-BE32-E72D297353CC}">
                  <c16:uniqueId val="{00000003-A1F4-4181-94C2-DD7FD54E1014}"/>
                </c:ext>
              </c:extLst>
            </c:dLbl>
            <c:dLbl>
              <c:idx val="2"/>
              <c:layout>
                <c:manualLayout>
                  <c:x val="-0.1141080630288264"/>
                  <c:y val="-0.14568633657255453"/>
                </c:manualLayout>
              </c:layout>
              <c:showLegendKey val="0"/>
              <c:showVal val="1"/>
              <c:showCatName val="0"/>
              <c:showSerName val="0"/>
              <c:showPercent val="0"/>
              <c:showBubbleSize val="0"/>
              <c:extLst>
                <c:ext xmlns:c15="http://schemas.microsoft.com/office/drawing/2012/chart" uri="{CE6537A1-D6FC-4f65-9D91-7224C49458BB}">
                  <c15:layout>
                    <c:manualLayout>
                      <c:w val="0.24594694006726264"/>
                      <c:h val="0.17487452870343834"/>
                    </c:manualLayout>
                  </c15:layout>
                </c:ext>
                <c:ext xmlns:c16="http://schemas.microsoft.com/office/drawing/2014/chart" uri="{C3380CC4-5D6E-409C-BE32-E72D297353CC}">
                  <c16:uniqueId val="{00000005-A1F4-4181-94C2-DD7FD54E1014}"/>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Analysis!$E$30:$E$32</c:f>
              <c:strCache>
                <c:ptCount val="3"/>
                <c:pt idx="0">
                  <c:v>Distributor</c:v>
                </c:pt>
                <c:pt idx="1">
                  <c:v>In-Store</c:v>
                </c:pt>
                <c:pt idx="2">
                  <c:v>Online</c:v>
                </c:pt>
              </c:strCache>
            </c:strRef>
          </c:cat>
          <c:val>
            <c:numRef>
              <c:f>Analysis!$F$30:$F$32</c:f>
              <c:numCache>
                <c:formatCode>[&gt;=1000000]\₦0.00,,\ \M;\₦0.00,\ \K</c:formatCode>
                <c:ptCount val="3"/>
                <c:pt idx="0">
                  <c:v>99967000</c:v>
                </c:pt>
                <c:pt idx="1">
                  <c:v>202267050</c:v>
                </c:pt>
                <c:pt idx="2">
                  <c:v>156840250</c:v>
                </c:pt>
              </c:numCache>
            </c:numRef>
          </c:val>
          <c:extLst>
            <c:ext xmlns:c16="http://schemas.microsoft.com/office/drawing/2014/chart" uri="{C3380CC4-5D6E-409C-BE32-E72D297353CC}">
              <c16:uniqueId val="{00000008-A1F4-4181-94C2-DD7FD54E1014}"/>
            </c:ext>
          </c:extLst>
        </c:ser>
        <c:dLbls>
          <c:showLegendKey val="0"/>
          <c:showVal val="1"/>
          <c:showCatName val="0"/>
          <c:showSerName val="0"/>
          <c:showPercent val="0"/>
          <c:showBubbleSize val="0"/>
          <c:showLeaderLines val="0"/>
        </c:dLbls>
        <c:firstSliceAng val="0"/>
        <c:holeSize val="7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Corbel Light" panose="020B0303020204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[Techbridge Ltd DA Project.xlsx]Analysis!PivotTable11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E82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E82A6"/>
          </a:solidFill>
          <a:ln>
            <a:noFill/>
          </a:ln>
          <a:effectLst/>
        </c:spPr>
        <c:dLbl>
          <c:idx val="0"/>
          <c:layout>
            <c:manualLayout>
              <c:x val="-3.3022628713844378E-2"/>
              <c:y val="-8.830935984294992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E82A6"/>
          </a:solidFill>
          <a:ln>
            <a:noFill/>
          </a:ln>
          <a:effectLst/>
        </c:spPr>
        <c:dLbl>
          <c:idx val="0"/>
          <c:layout>
            <c:manualLayout>
              <c:x val="-4.3597628220367127E-3"/>
              <c:y val="-9.567267139803810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Analysis!$F$37</c:f>
              <c:strCache>
                <c:ptCount val="1"/>
                <c:pt idx="0">
                  <c:v>Total</c:v>
                </c:pt>
              </c:strCache>
            </c:strRef>
          </c:tx>
          <c:spPr>
            <a:solidFill>
              <a:srgbClr val="5E82A6"/>
            </a:solidFill>
            <a:ln>
              <a:noFill/>
            </a:ln>
            <a:effectLst/>
          </c:spPr>
          <c:invertIfNegative val="0"/>
          <c:dPt>
            <c:idx val="4"/>
            <c:invertIfNegative val="0"/>
            <c:bubble3D val="0"/>
            <c:extLst>
              <c:ext xmlns:c16="http://schemas.microsoft.com/office/drawing/2014/chart" uri="{C3380CC4-5D6E-409C-BE32-E72D297353CC}">
                <c16:uniqueId val="{00000001-018E-422B-ADE8-2C5999A5F01C}"/>
              </c:ext>
            </c:extLst>
          </c:dPt>
          <c:dLbls>
            <c:dLbl>
              <c:idx val="3"/>
              <c:layout>
                <c:manualLayout>
                  <c:x val="-4.3597628220367127E-3"/>
                  <c:y val="-9.56726713980381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E8-447C-879E-9D5C6CF6E5A0}"/>
                </c:ext>
              </c:extLst>
            </c:dLbl>
            <c:dLbl>
              <c:idx val="4"/>
              <c:layout>
                <c:manualLayout>
                  <c:x val="-3.3022628713844378E-2"/>
                  <c:y val="-8.83093598429499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8E-422B-ADE8-2C5999A5F01C}"/>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Analysis!$E$38:$E$42</c:f>
              <c:strCache>
                <c:ptCount val="5"/>
                <c:pt idx="0">
                  <c:v>Fatima Aliyu</c:v>
                </c:pt>
                <c:pt idx="1">
                  <c:v>Amaka Bello</c:v>
                </c:pt>
                <c:pt idx="2">
                  <c:v>Ngozi Adeyemi</c:v>
                </c:pt>
                <c:pt idx="3">
                  <c:v>Emeka Nwosu</c:v>
                </c:pt>
                <c:pt idx="4">
                  <c:v>Yemi Osinbajo</c:v>
                </c:pt>
              </c:strCache>
            </c:strRef>
          </c:cat>
          <c:val>
            <c:numRef>
              <c:f>Analysis!$F$38:$F$42</c:f>
              <c:numCache>
                <c:formatCode>[&gt;=1000000]\₦0.00,,\ \M;\₦0.00,\ \K</c:formatCode>
                <c:ptCount val="5"/>
                <c:pt idx="0">
                  <c:v>43671400</c:v>
                </c:pt>
                <c:pt idx="1">
                  <c:v>50752150</c:v>
                </c:pt>
                <c:pt idx="2">
                  <c:v>52015100</c:v>
                </c:pt>
                <c:pt idx="3">
                  <c:v>60132500</c:v>
                </c:pt>
                <c:pt idx="4">
                  <c:v>63432700</c:v>
                </c:pt>
              </c:numCache>
            </c:numRef>
          </c:val>
          <c:extLst>
            <c:ext xmlns:c16="http://schemas.microsoft.com/office/drawing/2014/chart" uri="{C3380CC4-5D6E-409C-BE32-E72D297353CC}">
              <c16:uniqueId val="{00000000-018E-422B-ADE8-2C5999A5F01C}"/>
            </c:ext>
          </c:extLst>
        </c:ser>
        <c:dLbls>
          <c:dLblPos val="outEnd"/>
          <c:showLegendKey val="0"/>
          <c:showVal val="1"/>
          <c:showCatName val="0"/>
          <c:showSerName val="0"/>
          <c:showPercent val="0"/>
          <c:showBubbleSize val="0"/>
        </c:dLbls>
        <c:gapWidth val="62"/>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solidFill>
                <a:latin typeface="Corbel Light" panose="020B0303020204020204" pitchFamily="34" charset="0"/>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gt;=1000000]\₦0.00,,\ \M;\₦0.00,\ \K"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[Techbridge Ltd DA Project.xlsx]Analysis!PivotTable25</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4F6F9"/>
          </a:solidFill>
          <a:ln w="19050">
            <a:solidFill>
              <a:schemeClr val="lt1"/>
            </a:solidFill>
          </a:ln>
          <a:effectLst/>
        </c:spPr>
        <c:dLbl>
          <c:idx val="0"/>
          <c:layout>
            <c:manualLayout>
              <c:x val="8.9694873783792123E-2"/>
              <c:y val="-7.896103034818498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5E82A6"/>
          </a:solidFill>
          <a:ln w="19050">
            <a:solidFill>
              <a:schemeClr val="lt1"/>
            </a:solidFill>
          </a:ln>
          <a:effectLst/>
        </c:spPr>
        <c:dLbl>
          <c:idx val="0"/>
          <c:layout>
            <c:manualLayout>
              <c:x val="0.14438686999342146"/>
              <c:y val="-1.316017172469749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96ADC4"/>
          </a:solidFill>
          <a:ln w="19050">
            <a:solidFill>
              <a:schemeClr val="lt1"/>
            </a:solidFill>
          </a:ln>
          <a:effectLst/>
        </c:spPr>
        <c:dLbl>
          <c:idx val="0"/>
          <c:layout>
            <c:manualLayout>
              <c:x val="-8.0944154390251447E-2"/>
              <c:y val="-5.922077276113874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4F6F9"/>
          </a:solidFill>
          <a:ln w="19050">
            <a:solidFill>
              <a:schemeClr val="lt1"/>
            </a:solidFill>
          </a:ln>
          <a:effectLst/>
        </c:spPr>
        <c:dLbl>
          <c:idx val="0"/>
          <c:layout>
            <c:manualLayout>
              <c:x val="-9.6257913328947634E-2"/>
              <c:y val="-6.909090155466186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201328559023515"/>
          <c:y val="3.5819759531539333E-2"/>
          <c:w val="0.56972109838065177"/>
          <c:h val="0.85680127000838302"/>
        </c:manualLayout>
      </c:layout>
      <c:doughnutChart>
        <c:varyColors val="1"/>
        <c:ser>
          <c:idx val="0"/>
          <c:order val="0"/>
          <c:tx>
            <c:strRef>
              <c:f>Analysis!$F$45</c:f>
              <c:strCache>
                <c:ptCount val="1"/>
                <c:pt idx="0">
                  <c:v>Total</c:v>
                </c:pt>
              </c:strCache>
            </c:strRef>
          </c:tx>
          <c:dPt>
            <c:idx val="0"/>
            <c:bubble3D val="0"/>
            <c:spPr>
              <a:solidFill>
                <a:srgbClr val="F4F6F9"/>
              </a:solidFill>
              <a:ln w="19050">
                <a:solidFill>
                  <a:schemeClr val="lt1"/>
                </a:solidFill>
              </a:ln>
              <a:effectLst/>
            </c:spPr>
            <c:extLst>
              <c:ext xmlns:c16="http://schemas.microsoft.com/office/drawing/2014/chart" uri="{C3380CC4-5D6E-409C-BE32-E72D297353CC}">
                <c16:uniqueId val="{00000001-55B8-40BB-8940-F84A2A04DA12}"/>
              </c:ext>
            </c:extLst>
          </c:dPt>
          <c:dPt>
            <c:idx val="1"/>
            <c:bubble3D val="0"/>
            <c:spPr>
              <a:solidFill>
                <a:srgbClr val="5E82A6"/>
              </a:solidFill>
              <a:ln w="19050">
                <a:solidFill>
                  <a:schemeClr val="lt1"/>
                </a:solidFill>
              </a:ln>
              <a:effectLst/>
            </c:spPr>
            <c:extLst>
              <c:ext xmlns:c16="http://schemas.microsoft.com/office/drawing/2014/chart" uri="{C3380CC4-5D6E-409C-BE32-E72D297353CC}">
                <c16:uniqueId val="{00000003-55B8-40BB-8940-F84A2A04DA12}"/>
              </c:ext>
            </c:extLst>
          </c:dPt>
          <c:dPt>
            <c:idx val="2"/>
            <c:bubble3D val="0"/>
            <c:spPr>
              <a:solidFill>
                <a:srgbClr val="96ADC4"/>
              </a:solidFill>
              <a:ln w="19050">
                <a:solidFill>
                  <a:schemeClr val="lt1"/>
                </a:solidFill>
              </a:ln>
              <a:effectLst/>
            </c:spPr>
            <c:extLst>
              <c:ext xmlns:c16="http://schemas.microsoft.com/office/drawing/2014/chart" uri="{C3380CC4-5D6E-409C-BE32-E72D297353CC}">
                <c16:uniqueId val="{00000005-55B8-40BB-8940-F84A2A04DA12}"/>
              </c:ext>
            </c:extLst>
          </c:dPt>
          <c:dPt>
            <c:idx val="3"/>
            <c:bubble3D val="0"/>
            <c:spPr>
              <a:solidFill>
                <a:srgbClr val="F4F6F9"/>
              </a:solidFill>
              <a:ln w="19050">
                <a:solidFill>
                  <a:schemeClr val="lt1"/>
                </a:solidFill>
              </a:ln>
              <a:effectLst/>
            </c:spPr>
            <c:extLst>
              <c:ext xmlns:c16="http://schemas.microsoft.com/office/drawing/2014/chart" uri="{C3380CC4-5D6E-409C-BE32-E72D297353CC}">
                <c16:uniqueId val="{00000007-55B8-40BB-8940-F84A2A04DA12}"/>
              </c:ext>
            </c:extLst>
          </c:dPt>
          <c:dLbls>
            <c:dLbl>
              <c:idx val="0"/>
              <c:layout>
                <c:manualLayout>
                  <c:x val="8.9694873783792123E-2"/>
                  <c:y val="-7.89610303481849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B8-40BB-8940-F84A2A04DA12}"/>
                </c:ext>
              </c:extLst>
            </c:dLbl>
            <c:dLbl>
              <c:idx val="1"/>
              <c:layout>
                <c:manualLayout>
                  <c:x val="0.14438686999342146"/>
                  <c:y val="-1.31601717246974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B8-40BB-8940-F84A2A04DA12}"/>
                </c:ext>
              </c:extLst>
            </c:dLbl>
            <c:dLbl>
              <c:idx val="2"/>
              <c:layout>
                <c:manualLayout>
                  <c:x val="-8.0944154390251447E-2"/>
                  <c:y val="-5.92207727611387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B8-40BB-8940-F84A2A04DA12}"/>
                </c:ext>
              </c:extLst>
            </c:dLbl>
            <c:dLbl>
              <c:idx val="3"/>
              <c:layout>
                <c:manualLayout>
                  <c:x val="-9.6257913328947634E-2"/>
                  <c:y val="-6.90909015546618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B8-40BB-8940-F84A2A04DA12}"/>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Analysis!$E$46:$E$50</c:f>
              <c:strCache>
                <c:ptCount val="4"/>
                <c:pt idx="0">
                  <c:v>Cancelled</c:v>
                </c:pt>
                <c:pt idx="1">
                  <c:v>Completed</c:v>
                </c:pt>
                <c:pt idx="2">
                  <c:v>Pending</c:v>
                </c:pt>
                <c:pt idx="3">
                  <c:v>Returned</c:v>
                </c:pt>
              </c:strCache>
            </c:strRef>
          </c:cat>
          <c:val>
            <c:numRef>
              <c:f>Analysis!$F$46:$F$50</c:f>
              <c:numCache>
                <c:formatCode>0</c:formatCode>
                <c:ptCount val="4"/>
                <c:pt idx="0">
                  <c:v>51</c:v>
                </c:pt>
                <c:pt idx="1">
                  <c:v>259</c:v>
                </c:pt>
                <c:pt idx="2">
                  <c:v>65</c:v>
                </c:pt>
                <c:pt idx="3">
                  <c:v>49</c:v>
                </c:pt>
              </c:numCache>
            </c:numRef>
          </c:val>
          <c:extLst>
            <c:ext xmlns:c16="http://schemas.microsoft.com/office/drawing/2014/chart" uri="{C3380CC4-5D6E-409C-BE32-E72D297353CC}">
              <c16:uniqueId val="{00000008-55B8-40BB-8940-F84A2A04DA12}"/>
            </c:ext>
          </c:extLst>
        </c:ser>
        <c:dLbls>
          <c:showLegendKey val="0"/>
          <c:showVal val="1"/>
          <c:showCatName val="0"/>
          <c:showSerName val="0"/>
          <c:showPercent val="0"/>
          <c:showBubbleSize val="0"/>
          <c:showLeaderLines val="0"/>
        </c:dLbls>
        <c:firstSliceAng val="0"/>
        <c:holeSize val="7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Corbel Light" panose="020B0303020204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[Techbridge Ltd DA Project.xlsx]Analysis!PivotTable27</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4F6F9"/>
          </a:solidFill>
          <a:ln w="19050">
            <a:solidFill>
              <a:schemeClr val="lt1"/>
            </a:solidFill>
          </a:ln>
          <a:effectLst/>
        </c:spPr>
        <c:dLbl>
          <c:idx val="0"/>
          <c:layout>
            <c:manualLayout>
              <c:x val="6.8325990306759565E-2"/>
              <c:y val="-6.225768887721053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38586525718186"/>
                  <c:h val="0.17334501105836361"/>
                </c:manualLayout>
              </c15:layout>
            </c:ext>
          </c:extLst>
        </c:dLbl>
      </c:pivotFmt>
      <c:pivotFmt>
        <c:idx val="9"/>
        <c:spPr>
          <a:solidFill>
            <a:srgbClr val="5E82A6"/>
          </a:solidFill>
          <a:ln w="19050">
            <a:solidFill>
              <a:schemeClr val="lt1"/>
            </a:solidFill>
          </a:ln>
          <a:effectLst/>
        </c:spPr>
        <c:dLbl>
          <c:idx val="0"/>
          <c:layout>
            <c:manualLayout>
              <c:x val="-0.28820343505966572"/>
              <c:y val="-7.460687997124767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84207985020324"/>
                  <c:h val="0.18684556268576236"/>
                </c:manualLayout>
              </c15:layout>
            </c:ext>
          </c:extLst>
        </c:dLbl>
      </c:pivotFmt>
    </c:pivotFmts>
    <c:plotArea>
      <c:layout>
        <c:manualLayout>
          <c:layoutTarget val="inner"/>
          <c:xMode val="edge"/>
          <c:yMode val="edge"/>
          <c:x val="0.20866467907709127"/>
          <c:y val="9.4311947904343288E-2"/>
          <c:w val="0.56561775886369914"/>
          <c:h val="0.71208150751257215"/>
        </c:manualLayout>
      </c:layout>
      <c:doughnutChart>
        <c:varyColors val="1"/>
        <c:ser>
          <c:idx val="0"/>
          <c:order val="0"/>
          <c:tx>
            <c:strRef>
              <c:f>Analysis!$F$53</c:f>
              <c:strCache>
                <c:ptCount val="1"/>
                <c:pt idx="0">
                  <c:v>Total</c:v>
                </c:pt>
              </c:strCache>
            </c:strRef>
          </c:tx>
          <c:dPt>
            <c:idx val="0"/>
            <c:bubble3D val="0"/>
            <c:spPr>
              <a:solidFill>
                <a:srgbClr val="F4F6F9"/>
              </a:solidFill>
              <a:ln w="19050">
                <a:solidFill>
                  <a:schemeClr val="lt1"/>
                </a:solidFill>
              </a:ln>
              <a:effectLst/>
            </c:spPr>
            <c:extLst>
              <c:ext xmlns:c16="http://schemas.microsoft.com/office/drawing/2014/chart" uri="{C3380CC4-5D6E-409C-BE32-E72D297353CC}">
                <c16:uniqueId val="{00000001-EB2D-4772-8C30-48C6A73C2AF1}"/>
              </c:ext>
            </c:extLst>
          </c:dPt>
          <c:dPt>
            <c:idx val="1"/>
            <c:bubble3D val="0"/>
            <c:spPr>
              <a:solidFill>
                <a:srgbClr val="5E82A6"/>
              </a:solidFill>
              <a:ln w="19050">
                <a:solidFill>
                  <a:schemeClr val="lt1"/>
                </a:solidFill>
              </a:ln>
              <a:effectLst/>
            </c:spPr>
            <c:extLst>
              <c:ext xmlns:c16="http://schemas.microsoft.com/office/drawing/2014/chart" uri="{C3380CC4-5D6E-409C-BE32-E72D297353CC}">
                <c16:uniqueId val="{00000003-EB2D-4772-8C30-48C6A73C2AF1}"/>
              </c:ext>
            </c:extLst>
          </c:dPt>
          <c:dLbls>
            <c:dLbl>
              <c:idx val="0"/>
              <c:layout>
                <c:manualLayout>
                  <c:x val="6.8325990306759565E-2"/>
                  <c:y val="-6.2257688877210532E-2"/>
                </c:manualLayout>
              </c:layout>
              <c:showLegendKey val="0"/>
              <c:showVal val="1"/>
              <c:showCatName val="0"/>
              <c:showSerName val="0"/>
              <c:showPercent val="0"/>
              <c:showBubbleSize val="0"/>
              <c:extLst>
                <c:ext xmlns:c15="http://schemas.microsoft.com/office/drawing/2012/chart" uri="{CE6537A1-D6FC-4f65-9D91-7224C49458BB}">
                  <c15:layout>
                    <c:manualLayout>
                      <c:w val="0.23338586525718186"/>
                      <c:h val="0.17334501105836361"/>
                    </c:manualLayout>
                  </c15:layout>
                </c:ext>
                <c:ext xmlns:c16="http://schemas.microsoft.com/office/drawing/2014/chart" uri="{C3380CC4-5D6E-409C-BE32-E72D297353CC}">
                  <c16:uniqueId val="{00000001-EB2D-4772-8C30-48C6A73C2AF1}"/>
                </c:ext>
              </c:extLst>
            </c:dLbl>
            <c:dLbl>
              <c:idx val="1"/>
              <c:layout>
                <c:manualLayout>
                  <c:x val="-0.28820343505966572"/>
                  <c:y val="-7.460687997124767E-3"/>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84207985020324"/>
                      <c:h val="0.18684556268576236"/>
                    </c:manualLayout>
                  </c15:layout>
                </c:ext>
                <c:ext xmlns:c16="http://schemas.microsoft.com/office/drawing/2014/chart" uri="{C3380CC4-5D6E-409C-BE32-E72D297353CC}">
                  <c16:uniqueId val="{00000003-EB2D-4772-8C30-48C6A73C2AF1}"/>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Analysis!$E$54:$E$56</c:f>
              <c:strCache>
                <c:ptCount val="2"/>
                <c:pt idx="0">
                  <c:v>Accessories</c:v>
                </c:pt>
                <c:pt idx="1">
                  <c:v>Electronics</c:v>
                </c:pt>
              </c:strCache>
            </c:strRef>
          </c:cat>
          <c:val>
            <c:numRef>
              <c:f>Analysis!$F$54:$F$56</c:f>
              <c:numCache>
                <c:formatCode>[&gt;=1000000]\₦0.00,,\ \M;\₦0.00,\ \K</c:formatCode>
                <c:ptCount val="2"/>
                <c:pt idx="0">
                  <c:v>27773800</c:v>
                </c:pt>
                <c:pt idx="1">
                  <c:v>435128500</c:v>
                </c:pt>
              </c:numCache>
            </c:numRef>
          </c:val>
          <c:extLst>
            <c:ext xmlns:c16="http://schemas.microsoft.com/office/drawing/2014/chart" uri="{C3380CC4-5D6E-409C-BE32-E72D297353CC}">
              <c16:uniqueId val="{00000004-EB2D-4772-8C30-48C6A73C2AF1}"/>
            </c:ext>
          </c:extLst>
        </c:ser>
        <c:dLbls>
          <c:showLegendKey val="0"/>
          <c:showVal val="0"/>
          <c:showCatName val="0"/>
          <c:showSerName val="0"/>
          <c:showPercent val="0"/>
          <c:showBubbleSize val="0"/>
          <c:showLeaderLines val="1"/>
        </c:dLbls>
        <c:firstSliceAng val="0"/>
        <c:holeSize val="7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Corbel Light" panose="020B0303020204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hyperlink" Target="https://www.linkedin.com/in/ogheghe-prosper-9476353a4" TargetMode="External"/><Relationship Id="rId3" Type="http://schemas.openxmlformats.org/officeDocument/2006/relationships/chart" Target="../charts/chart3.xml"/><Relationship Id="rId7" Type="http://schemas.openxmlformats.org/officeDocument/2006/relationships/image" Target="../media/image1.emf"/><Relationship Id="rId12" Type="http://schemas.openxmlformats.org/officeDocument/2006/relationships/image" Target="../media/image6.emf"/><Relationship Id="rId17" Type="http://schemas.openxmlformats.org/officeDocument/2006/relationships/hyperlink" Target="#'Clean Raw Data'!A1"/><Relationship Id="rId2" Type="http://schemas.openxmlformats.org/officeDocument/2006/relationships/chart" Target="../charts/chart2.xml"/><Relationship Id="rId16" Type="http://schemas.openxmlformats.org/officeDocument/2006/relationships/hyperlink" Target="#Analysis!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emf"/><Relationship Id="rId5" Type="http://schemas.openxmlformats.org/officeDocument/2006/relationships/chart" Target="../charts/chart5.xml"/><Relationship Id="rId15" Type="http://schemas.openxmlformats.org/officeDocument/2006/relationships/hyperlink" Target="#Dashboard!A1"/><Relationship Id="rId10" Type="http://schemas.openxmlformats.org/officeDocument/2006/relationships/image" Target="../media/image4.emf"/><Relationship Id="rId4" Type="http://schemas.openxmlformats.org/officeDocument/2006/relationships/chart" Target="../charts/chart4.xml"/><Relationship Id="rId9" Type="http://schemas.openxmlformats.org/officeDocument/2006/relationships/image" Target="../media/image3.emf"/><Relationship Id="rId1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44</xdr:col>
      <xdr:colOff>222041</xdr:colOff>
      <xdr:row>24</xdr:row>
      <xdr:rowOff>58742</xdr:rowOff>
    </xdr:from>
    <xdr:to>
      <xdr:col>45</xdr:col>
      <xdr:colOff>308934</xdr:colOff>
      <xdr:row>35</xdr:row>
      <xdr:rowOff>149863</xdr:rowOff>
    </xdr:to>
    <xdr:sp macro="" textlink="">
      <xdr:nvSpPr>
        <xdr:cNvPr id="3" name="Rectangle 2">
          <a:extLst>
            <a:ext uri="{FF2B5EF4-FFF2-40B4-BE49-F238E27FC236}">
              <a16:creationId xmlns:a16="http://schemas.microsoft.com/office/drawing/2014/main" id="{7D833D8F-B814-AB45-CFF1-B6AE5B2026FA}"/>
            </a:ext>
          </a:extLst>
        </xdr:cNvPr>
        <xdr:cNvSpPr/>
      </xdr:nvSpPr>
      <xdr:spPr>
        <a:xfrm>
          <a:off x="27164184" y="4304171"/>
          <a:ext cx="699214" cy="2036942"/>
        </a:xfrm>
        <a:prstGeom prst="rect">
          <a:avLst/>
        </a:prstGeom>
        <a:solidFill>
          <a:srgbClr val="F4F6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1061</xdr:colOff>
      <xdr:row>24</xdr:row>
      <xdr:rowOff>73982</xdr:rowOff>
    </xdr:from>
    <xdr:to>
      <xdr:col>47</xdr:col>
      <xdr:colOff>84882</xdr:colOff>
      <xdr:row>35</xdr:row>
      <xdr:rowOff>165103</xdr:rowOff>
    </xdr:to>
    <xdr:sp macro="" textlink="">
      <xdr:nvSpPr>
        <xdr:cNvPr id="4" name="Rectangle 3">
          <a:extLst>
            <a:ext uri="{FF2B5EF4-FFF2-40B4-BE49-F238E27FC236}">
              <a16:creationId xmlns:a16="http://schemas.microsoft.com/office/drawing/2014/main" id="{1E6B8312-BAF5-D3BD-65D6-D78FA27C9537}"/>
            </a:ext>
          </a:extLst>
        </xdr:cNvPr>
        <xdr:cNvSpPr/>
      </xdr:nvSpPr>
      <xdr:spPr>
        <a:xfrm>
          <a:off x="28167847" y="4319411"/>
          <a:ext cx="696142" cy="2036942"/>
        </a:xfrm>
        <a:prstGeom prst="rect">
          <a:avLst/>
        </a:prstGeom>
        <a:solidFill>
          <a:srgbClr val="5E82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74332</xdr:colOff>
      <xdr:row>1</xdr:row>
      <xdr:rowOff>96839</xdr:rowOff>
    </xdr:from>
    <xdr:to>
      <xdr:col>37</xdr:col>
      <xdr:colOff>438552</xdr:colOff>
      <xdr:row>67</xdr:row>
      <xdr:rowOff>24191</xdr:rowOff>
    </xdr:to>
    <xdr:sp macro="" textlink="">
      <xdr:nvSpPr>
        <xdr:cNvPr id="6" name="Rectangle 5">
          <a:extLst>
            <a:ext uri="{FF2B5EF4-FFF2-40B4-BE49-F238E27FC236}">
              <a16:creationId xmlns:a16="http://schemas.microsoft.com/office/drawing/2014/main" id="{3014FD16-5D41-4520-8A9A-0CE51DA206FC}"/>
            </a:ext>
          </a:extLst>
        </xdr:cNvPr>
        <xdr:cNvSpPr/>
      </xdr:nvSpPr>
      <xdr:spPr>
        <a:xfrm>
          <a:off x="2523618" y="273732"/>
          <a:ext cx="20570827" cy="11602280"/>
        </a:xfrm>
        <a:prstGeom prst="rect">
          <a:avLst/>
        </a:prstGeom>
        <a:solidFill>
          <a:srgbClr val="F4F6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476246</xdr:colOff>
      <xdr:row>1</xdr:row>
      <xdr:rowOff>95439</xdr:rowOff>
    </xdr:from>
    <xdr:to>
      <xdr:col>6</xdr:col>
      <xdr:colOff>562232</xdr:colOff>
      <xdr:row>67</xdr:row>
      <xdr:rowOff>36284</xdr:rowOff>
    </xdr:to>
    <xdr:sp macro="" textlink="">
      <xdr:nvSpPr>
        <xdr:cNvPr id="8" name="Rectangle: Top Corners Rounded 7">
          <a:extLst>
            <a:ext uri="{FF2B5EF4-FFF2-40B4-BE49-F238E27FC236}">
              <a16:creationId xmlns:a16="http://schemas.microsoft.com/office/drawing/2014/main" id="{6E933435-2A36-7627-BDFC-8770467C0C91}"/>
            </a:ext>
          </a:extLst>
        </xdr:cNvPr>
        <xdr:cNvSpPr/>
      </xdr:nvSpPr>
      <xdr:spPr>
        <a:xfrm rot="16200000">
          <a:off x="-2839362" y="4812583"/>
          <a:ext cx="11615773" cy="2535272"/>
        </a:xfrm>
        <a:prstGeom prst="round2SameRect">
          <a:avLst>
            <a:gd name="adj1" fmla="val 6527"/>
            <a:gd name="adj2" fmla="val 0"/>
          </a:avLst>
        </a:prstGeom>
        <a:solidFill>
          <a:srgbClr val="5E82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119313</xdr:colOff>
      <xdr:row>16</xdr:row>
      <xdr:rowOff>145146</xdr:rowOff>
    </xdr:from>
    <xdr:to>
      <xdr:col>22</xdr:col>
      <xdr:colOff>34574</xdr:colOff>
      <xdr:row>39</xdr:row>
      <xdr:rowOff>48381</xdr:rowOff>
    </xdr:to>
    <xdr:sp macro="" textlink="">
      <xdr:nvSpPr>
        <xdr:cNvPr id="10" name="Rectangle: Rounded Corners 9">
          <a:extLst>
            <a:ext uri="{FF2B5EF4-FFF2-40B4-BE49-F238E27FC236}">
              <a16:creationId xmlns:a16="http://schemas.microsoft.com/office/drawing/2014/main" id="{AC939A36-C2D3-60BC-11DC-25716C185414}"/>
            </a:ext>
          </a:extLst>
        </xdr:cNvPr>
        <xdr:cNvSpPr/>
      </xdr:nvSpPr>
      <xdr:spPr>
        <a:xfrm>
          <a:off x="4405563" y="2975432"/>
          <a:ext cx="9100082" cy="3971770"/>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119313</xdr:colOff>
      <xdr:row>7</xdr:row>
      <xdr:rowOff>60479</xdr:rowOff>
    </xdr:from>
    <xdr:to>
      <xdr:col>11</xdr:col>
      <xdr:colOff>554969</xdr:colOff>
      <xdr:row>15</xdr:row>
      <xdr:rowOff>120955</xdr:rowOff>
    </xdr:to>
    <xdr:sp macro="" textlink="">
      <xdr:nvSpPr>
        <xdr:cNvPr id="11" name="Rectangle: Rounded Corners 10">
          <a:extLst>
            <a:ext uri="{FF2B5EF4-FFF2-40B4-BE49-F238E27FC236}">
              <a16:creationId xmlns:a16="http://schemas.microsoft.com/office/drawing/2014/main" id="{8D1E8FB2-1E64-699D-6C22-2F2108307449}"/>
            </a:ext>
          </a:extLst>
        </xdr:cNvPr>
        <xdr:cNvSpPr/>
      </xdr:nvSpPr>
      <xdr:spPr>
        <a:xfrm>
          <a:off x="4378838" y="1326824"/>
          <a:ext cx="2869671" cy="1507728"/>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199142</xdr:colOff>
      <xdr:row>16</xdr:row>
      <xdr:rowOff>164498</xdr:rowOff>
    </xdr:from>
    <xdr:to>
      <xdr:col>37</xdr:col>
      <xdr:colOff>114401</xdr:colOff>
      <xdr:row>39</xdr:row>
      <xdr:rowOff>67733</xdr:rowOff>
    </xdr:to>
    <xdr:sp macro="" textlink="">
      <xdr:nvSpPr>
        <xdr:cNvPr id="14" name="Rectangle: Rounded Corners 13">
          <a:extLst>
            <a:ext uri="{FF2B5EF4-FFF2-40B4-BE49-F238E27FC236}">
              <a16:creationId xmlns:a16="http://schemas.microsoft.com/office/drawing/2014/main" id="{BF5B167D-25C3-E4DA-DE86-1CC17F0D2852}"/>
            </a:ext>
          </a:extLst>
        </xdr:cNvPr>
        <xdr:cNvSpPr/>
      </xdr:nvSpPr>
      <xdr:spPr>
        <a:xfrm>
          <a:off x="13670213" y="2994784"/>
          <a:ext cx="9100081" cy="3971770"/>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119313</xdr:colOff>
      <xdr:row>40</xdr:row>
      <xdr:rowOff>62897</xdr:rowOff>
    </xdr:from>
    <xdr:to>
      <xdr:col>16</xdr:col>
      <xdr:colOff>598585</xdr:colOff>
      <xdr:row>65</xdr:row>
      <xdr:rowOff>111278</xdr:rowOff>
    </xdr:to>
    <xdr:sp macro="" textlink="">
      <xdr:nvSpPr>
        <xdr:cNvPr id="15" name="Rectangle 14">
          <a:extLst>
            <a:ext uri="{FF2B5EF4-FFF2-40B4-BE49-F238E27FC236}">
              <a16:creationId xmlns:a16="http://schemas.microsoft.com/office/drawing/2014/main" id="{C13FF0F5-4193-8596-0CE3-2E0424D3716C}"/>
            </a:ext>
          </a:extLst>
        </xdr:cNvPr>
        <xdr:cNvSpPr/>
      </xdr:nvSpPr>
      <xdr:spPr>
        <a:xfrm>
          <a:off x="4405563" y="7138611"/>
          <a:ext cx="5990165" cy="4470703"/>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183382</xdr:colOff>
      <xdr:row>40</xdr:row>
      <xdr:rowOff>62897</xdr:rowOff>
    </xdr:from>
    <xdr:to>
      <xdr:col>27</xdr:col>
      <xdr:colOff>50332</xdr:colOff>
      <xdr:row>65</xdr:row>
      <xdr:rowOff>111278</xdr:rowOff>
    </xdr:to>
    <xdr:sp macro="" textlink="">
      <xdr:nvSpPr>
        <xdr:cNvPr id="19" name="Rectangle 18">
          <a:extLst>
            <a:ext uri="{FF2B5EF4-FFF2-40B4-BE49-F238E27FC236}">
              <a16:creationId xmlns:a16="http://schemas.microsoft.com/office/drawing/2014/main" id="{BF7B4064-D3C5-D289-1600-136C8B1458F3}"/>
            </a:ext>
          </a:extLst>
        </xdr:cNvPr>
        <xdr:cNvSpPr/>
      </xdr:nvSpPr>
      <xdr:spPr>
        <a:xfrm>
          <a:off x="10592846" y="7138611"/>
          <a:ext cx="5990165" cy="4470703"/>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247450</xdr:colOff>
      <xdr:row>40</xdr:row>
      <xdr:rowOff>62897</xdr:rowOff>
    </xdr:from>
    <xdr:to>
      <xdr:col>37</xdr:col>
      <xdr:colOff>114401</xdr:colOff>
      <xdr:row>65</xdr:row>
      <xdr:rowOff>111278</xdr:rowOff>
    </xdr:to>
    <xdr:sp macro="" textlink="">
      <xdr:nvSpPr>
        <xdr:cNvPr id="20" name="Rectangle 19">
          <a:extLst>
            <a:ext uri="{FF2B5EF4-FFF2-40B4-BE49-F238E27FC236}">
              <a16:creationId xmlns:a16="http://schemas.microsoft.com/office/drawing/2014/main" id="{EE4E4FA0-815F-9EF6-FEDD-D615C350FCEA}"/>
            </a:ext>
          </a:extLst>
        </xdr:cNvPr>
        <xdr:cNvSpPr/>
      </xdr:nvSpPr>
      <xdr:spPr>
        <a:xfrm>
          <a:off x="16780129" y="7138611"/>
          <a:ext cx="5990165" cy="4470703"/>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153664</xdr:colOff>
      <xdr:row>7</xdr:row>
      <xdr:rowOff>67736</xdr:rowOff>
    </xdr:from>
    <xdr:to>
      <xdr:col>16</xdr:col>
      <xdr:colOff>589319</xdr:colOff>
      <xdr:row>15</xdr:row>
      <xdr:rowOff>128212</xdr:rowOff>
    </xdr:to>
    <xdr:sp macro="" textlink="">
      <xdr:nvSpPr>
        <xdr:cNvPr id="35" name="Rectangle: Rounded Corners 34">
          <a:extLst>
            <a:ext uri="{FF2B5EF4-FFF2-40B4-BE49-F238E27FC236}">
              <a16:creationId xmlns:a16="http://schemas.microsoft.com/office/drawing/2014/main" id="{0E49BCE7-E41E-4C73-68FC-DEAEFB3BDF49}"/>
            </a:ext>
          </a:extLst>
        </xdr:cNvPr>
        <xdr:cNvSpPr/>
      </xdr:nvSpPr>
      <xdr:spPr>
        <a:xfrm>
          <a:off x="7501521" y="1305986"/>
          <a:ext cx="2884941" cy="1475619"/>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188014</xdr:colOff>
      <xdr:row>7</xdr:row>
      <xdr:rowOff>74993</xdr:rowOff>
    </xdr:from>
    <xdr:to>
      <xdr:col>22</xdr:col>
      <xdr:colOff>11349</xdr:colOff>
      <xdr:row>15</xdr:row>
      <xdr:rowOff>135469</xdr:rowOff>
    </xdr:to>
    <xdr:sp macro="" textlink="">
      <xdr:nvSpPr>
        <xdr:cNvPr id="36" name="Rectangle: Rounded Corners 35">
          <a:extLst>
            <a:ext uri="{FF2B5EF4-FFF2-40B4-BE49-F238E27FC236}">
              <a16:creationId xmlns:a16="http://schemas.microsoft.com/office/drawing/2014/main" id="{6178D550-BF0E-5F74-E4E4-FCC46E821174}"/>
            </a:ext>
          </a:extLst>
        </xdr:cNvPr>
        <xdr:cNvSpPr/>
      </xdr:nvSpPr>
      <xdr:spPr>
        <a:xfrm>
          <a:off x="10597478" y="1313243"/>
          <a:ext cx="2884942" cy="1475619"/>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222365</xdr:colOff>
      <xdr:row>7</xdr:row>
      <xdr:rowOff>82250</xdr:rowOff>
    </xdr:from>
    <xdr:to>
      <xdr:col>27</xdr:col>
      <xdr:colOff>45698</xdr:colOff>
      <xdr:row>15</xdr:row>
      <xdr:rowOff>142726</xdr:rowOff>
    </xdr:to>
    <xdr:sp macro="" textlink="">
      <xdr:nvSpPr>
        <xdr:cNvPr id="37" name="Rectangle: Rounded Corners 36">
          <a:extLst>
            <a:ext uri="{FF2B5EF4-FFF2-40B4-BE49-F238E27FC236}">
              <a16:creationId xmlns:a16="http://schemas.microsoft.com/office/drawing/2014/main" id="{97C9609B-BAD4-B5C8-2DC2-D521232EA2AD}"/>
            </a:ext>
          </a:extLst>
        </xdr:cNvPr>
        <xdr:cNvSpPr/>
      </xdr:nvSpPr>
      <xdr:spPr>
        <a:xfrm>
          <a:off x="13693436" y="1320500"/>
          <a:ext cx="2884941" cy="1475619"/>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256714</xdr:colOff>
      <xdr:row>7</xdr:row>
      <xdr:rowOff>89507</xdr:rowOff>
    </xdr:from>
    <xdr:to>
      <xdr:col>32</xdr:col>
      <xdr:colOff>80049</xdr:colOff>
      <xdr:row>15</xdr:row>
      <xdr:rowOff>149983</xdr:rowOff>
    </xdr:to>
    <xdr:sp macro="" textlink="">
      <xdr:nvSpPr>
        <xdr:cNvPr id="38" name="Rectangle: Rounded Corners 37">
          <a:extLst>
            <a:ext uri="{FF2B5EF4-FFF2-40B4-BE49-F238E27FC236}">
              <a16:creationId xmlns:a16="http://schemas.microsoft.com/office/drawing/2014/main" id="{02E4D6D6-F428-5CE1-4140-A1A2DA04AFA0}"/>
            </a:ext>
          </a:extLst>
        </xdr:cNvPr>
        <xdr:cNvSpPr/>
      </xdr:nvSpPr>
      <xdr:spPr>
        <a:xfrm>
          <a:off x="16789393" y="1327757"/>
          <a:ext cx="2884942" cy="1475619"/>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32</xdr:col>
      <xdr:colOff>295905</xdr:colOff>
      <xdr:row>7</xdr:row>
      <xdr:rowOff>96764</xdr:rowOff>
    </xdr:from>
    <xdr:to>
      <xdr:col>37</xdr:col>
      <xdr:colOff>114401</xdr:colOff>
      <xdr:row>15</xdr:row>
      <xdr:rowOff>157240</xdr:rowOff>
    </xdr:to>
    <xdr:sp macro="" textlink="">
      <xdr:nvSpPr>
        <xdr:cNvPr id="39" name="Rectangle: Rounded Corners 38">
          <a:extLst>
            <a:ext uri="{FF2B5EF4-FFF2-40B4-BE49-F238E27FC236}">
              <a16:creationId xmlns:a16="http://schemas.microsoft.com/office/drawing/2014/main" id="{D0461B04-13B0-4AD3-0DDF-A868DD2D1688}"/>
            </a:ext>
          </a:extLst>
        </xdr:cNvPr>
        <xdr:cNvSpPr/>
      </xdr:nvSpPr>
      <xdr:spPr>
        <a:xfrm>
          <a:off x="19890191" y="1335014"/>
          <a:ext cx="2880103" cy="1475619"/>
        </a:xfrm>
        <a:prstGeom prst="roundRect">
          <a:avLst>
            <a:gd name="adj" fmla="val 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154688</xdr:colOff>
      <xdr:row>43</xdr:row>
      <xdr:rowOff>173791</xdr:rowOff>
    </xdr:from>
    <xdr:to>
      <xdr:col>16</xdr:col>
      <xdr:colOff>506325</xdr:colOff>
      <xdr:row>65</xdr:row>
      <xdr:rowOff>121749</xdr:rowOff>
    </xdr:to>
    <xdr:graphicFrame macro="">
      <xdr:nvGraphicFramePr>
        <xdr:cNvPr id="42" name="Chart 41">
          <a:extLst>
            <a:ext uri="{FF2B5EF4-FFF2-40B4-BE49-F238E27FC236}">
              <a16:creationId xmlns:a16="http://schemas.microsoft.com/office/drawing/2014/main" id="{2FF23452-4C83-444A-8D5B-EA54A82BD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217709</xdr:colOff>
      <xdr:row>19</xdr:row>
      <xdr:rowOff>136071</xdr:rowOff>
    </xdr:from>
    <xdr:to>
      <xdr:col>21</xdr:col>
      <xdr:colOff>543087</xdr:colOff>
      <xdr:row>38</xdr:row>
      <xdr:rowOff>173788</xdr:rowOff>
    </xdr:to>
    <xdr:graphicFrame macro="">
      <xdr:nvGraphicFramePr>
        <xdr:cNvPr id="43" name="Chart 42">
          <a:extLst>
            <a:ext uri="{FF2B5EF4-FFF2-40B4-BE49-F238E27FC236}">
              <a16:creationId xmlns:a16="http://schemas.microsoft.com/office/drawing/2014/main" id="{3B6212DB-97C6-45D7-BEA8-A58A3643C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536404</xdr:colOff>
      <xdr:row>19</xdr:row>
      <xdr:rowOff>160421</xdr:rowOff>
    </xdr:from>
    <xdr:to>
      <xdr:col>37</xdr:col>
      <xdr:colOff>134632</xdr:colOff>
      <xdr:row>38</xdr:row>
      <xdr:rowOff>140368</xdr:rowOff>
    </xdr:to>
    <xdr:graphicFrame macro="">
      <xdr:nvGraphicFramePr>
        <xdr:cNvPr id="44" name="Chart 43">
          <a:extLst>
            <a:ext uri="{FF2B5EF4-FFF2-40B4-BE49-F238E27FC236}">
              <a16:creationId xmlns:a16="http://schemas.microsoft.com/office/drawing/2014/main" id="{FEEECC29-80FD-4B4D-BA31-42C4EE194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254951</xdr:colOff>
      <xdr:row>42</xdr:row>
      <xdr:rowOff>106947</xdr:rowOff>
    </xdr:from>
    <xdr:to>
      <xdr:col>26</xdr:col>
      <xdr:colOff>546429</xdr:colOff>
      <xdr:row>65</xdr:row>
      <xdr:rowOff>50133</xdr:rowOff>
    </xdr:to>
    <xdr:graphicFrame macro="">
      <xdr:nvGraphicFramePr>
        <xdr:cNvPr id="45" name="Chart 44">
          <a:extLst>
            <a:ext uri="{FF2B5EF4-FFF2-40B4-BE49-F238E27FC236}">
              <a16:creationId xmlns:a16="http://schemas.microsoft.com/office/drawing/2014/main" id="{246483D4-C99B-4D65-8F0B-AF2930C96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305081</xdr:colOff>
      <xdr:row>43</xdr:row>
      <xdr:rowOff>120316</xdr:rowOff>
    </xdr:from>
    <xdr:to>
      <xdr:col>36</xdr:col>
      <xdr:colOff>606588</xdr:colOff>
      <xdr:row>65</xdr:row>
      <xdr:rowOff>10027</xdr:rowOff>
    </xdr:to>
    <xdr:graphicFrame macro="">
      <xdr:nvGraphicFramePr>
        <xdr:cNvPr id="46" name="Chart 45">
          <a:extLst>
            <a:ext uri="{FF2B5EF4-FFF2-40B4-BE49-F238E27FC236}">
              <a16:creationId xmlns:a16="http://schemas.microsoft.com/office/drawing/2014/main" id="{2DAB69FE-8809-48DE-ADCD-CCB72333B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224871</xdr:colOff>
      <xdr:row>19</xdr:row>
      <xdr:rowOff>40105</xdr:rowOff>
    </xdr:from>
    <xdr:to>
      <xdr:col>29</xdr:col>
      <xdr:colOff>412029</xdr:colOff>
      <xdr:row>38</xdr:row>
      <xdr:rowOff>160422</xdr:rowOff>
    </xdr:to>
    <xdr:graphicFrame macro="">
      <xdr:nvGraphicFramePr>
        <xdr:cNvPr id="47" name="Chart 46">
          <a:extLst>
            <a:ext uri="{FF2B5EF4-FFF2-40B4-BE49-F238E27FC236}">
              <a16:creationId xmlns:a16="http://schemas.microsoft.com/office/drawing/2014/main" id="{288A882F-B5B3-4D1A-9472-70CE2E4C3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297027</xdr:colOff>
      <xdr:row>39</xdr:row>
      <xdr:rowOff>171165</xdr:rowOff>
    </xdr:from>
    <xdr:to>
      <xdr:col>45</xdr:col>
      <xdr:colOff>380848</xdr:colOff>
      <xdr:row>51</xdr:row>
      <xdr:rowOff>74547</xdr:rowOff>
    </xdr:to>
    <xdr:sp macro="" textlink="">
      <xdr:nvSpPr>
        <xdr:cNvPr id="50" name="Rectangle 49">
          <a:extLst>
            <a:ext uri="{FF2B5EF4-FFF2-40B4-BE49-F238E27FC236}">
              <a16:creationId xmlns:a16="http://schemas.microsoft.com/office/drawing/2014/main" id="{693546F4-F9A9-E679-7FE1-772A4CCCEB54}"/>
            </a:ext>
          </a:extLst>
        </xdr:cNvPr>
        <xdr:cNvSpPr/>
      </xdr:nvSpPr>
      <xdr:spPr>
        <a:xfrm>
          <a:off x="27239170" y="7069986"/>
          <a:ext cx="696142" cy="2026097"/>
        </a:xfrm>
        <a:prstGeom prst="rect">
          <a:avLst/>
        </a:prstGeom>
        <a:solidFill>
          <a:srgbClr val="C6D3E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575836</xdr:colOff>
      <xdr:row>40</xdr:row>
      <xdr:rowOff>69565</xdr:rowOff>
    </xdr:from>
    <xdr:to>
      <xdr:col>48</xdr:col>
      <xdr:colOff>47334</xdr:colOff>
      <xdr:row>51</xdr:row>
      <xdr:rowOff>160686</xdr:rowOff>
    </xdr:to>
    <xdr:sp macro="" textlink="">
      <xdr:nvSpPr>
        <xdr:cNvPr id="51" name="Rectangle 50">
          <a:extLst>
            <a:ext uri="{FF2B5EF4-FFF2-40B4-BE49-F238E27FC236}">
              <a16:creationId xmlns:a16="http://schemas.microsoft.com/office/drawing/2014/main" id="{65C372F2-1385-2401-7158-A1797EEAEB1D}"/>
            </a:ext>
          </a:extLst>
        </xdr:cNvPr>
        <xdr:cNvSpPr/>
      </xdr:nvSpPr>
      <xdr:spPr>
        <a:xfrm>
          <a:off x="28742622" y="7145279"/>
          <a:ext cx="696141" cy="2036943"/>
        </a:xfrm>
        <a:prstGeom prst="rect">
          <a:avLst/>
        </a:prstGeom>
        <a:solidFill>
          <a:srgbClr val="96AD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7</xdr:col>
          <xdr:colOff>93938</xdr:colOff>
          <xdr:row>10</xdr:row>
          <xdr:rowOff>7812</xdr:rowOff>
        </xdr:from>
        <xdr:to>
          <xdr:col>11</xdr:col>
          <xdr:colOff>418295</xdr:colOff>
          <xdr:row>13</xdr:row>
          <xdr:rowOff>38545</xdr:rowOff>
        </xdr:to>
        <xdr:pic>
          <xdr:nvPicPr>
            <xdr:cNvPr id="52" name="Picture 51">
              <a:extLst>
                <a:ext uri="{FF2B5EF4-FFF2-40B4-BE49-F238E27FC236}">
                  <a16:creationId xmlns:a16="http://schemas.microsoft.com/office/drawing/2014/main" id="{2AEA655B-2B3A-16BB-067B-743EB3E90575}"/>
                </a:ext>
              </a:extLst>
            </xdr:cNvPr>
            <xdr:cNvPicPr>
              <a:picLocks noChangeAspect="1" noChangeArrowheads="1"/>
              <a:extLst>
                <a:ext uri="{84589F7E-364E-4C9E-8A38-B11213B215E9}">
                  <a14:cameraTool cellRange="Analysis!$I$9" spid="_x0000_s9416"/>
                </a:ext>
              </a:extLst>
            </xdr:cNvPicPr>
          </xdr:nvPicPr>
          <xdr:blipFill>
            <a:blip xmlns:r="http://schemas.openxmlformats.org/officeDocument/2006/relationships" r:embed="rId7"/>
            <a:srcRect/>
            <a:stretch>
              <a:fillRect/>
            </a:stretch>
          </xdr:blipFill>
          <xdr:spPr bwMode="auto">
            <a:xfrm>
              <a:off x="4380188" y="1776741"/>
              <a:ext cx="2773643" cy="56141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162053</xdr:colOff>
          <xdr:row>10</xdr:row>
          <xdr:rowOff>7608</xdr:rowOff>
        </xdr:from>
        <xdr:to>
          <xdr:col>16</xdr:col>
          <xdr:colOff>94742</xdr:colOff>
          <xdr:row>13</xdr:row>
          <xdr:rowOff>38749</xdr:rowOff>
        </xdr:to>
        <xdr:pic>
          <xdr:nvPicPr>
            <xdr:cNvPr id="53" name="Picture 52">
              <a:extLst>
                <a:ext uri="{FF2B5EF4-FFF2-40B4-BE49-F238E27FC236}">
                  <a16:creationId xmlns:a16="http://schemas.microsoft.com/office/drawing/2014/main" id="{846E3019-03BA-67F8-7068-D5AD0FDA0AA2}"/>
                </a:ext>
              </a:extLst>
            </xdr:cNvPr>
            <xdr:cNvPicPr>
              <a:picLocks noChangeAspect="1" noChangeArrowheads="1"/>
              <a:extLst>
                <a:ext uri="{84589F7E-364E-4C9E-8A38-B11213B215E9}">
                  <a14:cameraTool cellRange="Analysis!$K$9" spid="_x0000_s9417"/>
                </a:ext>
              </a:extLst>
            </xdr:cNvPicPr>
          </xdr:nvPicPr>
          <xdr:blipFill>
            <a:blip xmlns:r="http://schemas.openxmlformats.org/officeDocument/2006/relationships" r:embed="rId8"/>
            <a:srcRect/>
            <a:stretch>
              <a:fillRect/>
            </a:stretch>
          </xdr:blipFill>
          <xdr:spPr bwMode="auto">
            <a:xfrm>
              <a:off x="7509910" y="1776537"/>
              <a:ext cx="2381975" cy="56181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204182</xdr:colOff>
          <xdr:row>10</xdr:row>
          <xdr:rowOff>9601</xdr:rowOff>
        </xdr:from>
        <xdr:to>
          <xdr:col>26</xdr:col>
          <xdr:colOff>503766</xdr:colOff>
          <xdr:row>13</xdr:row>
          <xdr:rowOff>36756</xdr:rowOff>
        </xdr:to>
        <xdr:pic>
          <xdr:nvPicPr>
            <xdr:cNvPr id="55" name="Picture 54">
              <a:extLst>
                <a:ext uri="{FF2B5EF4-FFF2-40B4-BE49-F238E27FC236}">
                  <a16:creationId xmlns:a16="http://schemas.microsoft.com/office/drawing/2014/main" id="{E0824561-9DF1-AA4C-9A72-F5631500C5BB}"/>
                </a:ext>
              </a:extLst>
            </xdr:cNvPr>
            <xdr:cNvPicPr>
              <a:picLocks noChangeAspect="1" noChangeArrowheads="1"/>
              <a:extLst>
                <a:ext uri="{84589F7E-364E-4C9E-8A38-B11213B215E9}">
                  <a14:cameraTool cellRange="Analysis!$S$9" spid="_x0000_s9418"/>
                </a:ext>
              </a:extLst>
            </xdr:cNvPicPr>
          </xdr:nvPicPr>
          <xdr:blipFill>
            <a:blip xmlns:r="http://schemas.openxmlformats.org/officeDocument/2006/relationships" r:embed="rId9"/>
            <a:srcRect/>
            <a:stretch>
              <a:fillRect/>
            </a:stretch>
          </xdr:blipFill>
          <xdr:spPr bwMode="auto">
            <a:xfrm>
              <a:off x="13675253" y="1778530"/>
              <a:ext cx="2748870" cy="55783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235746</xdr:colOff>
          <xdr:row>10</xdr:row>
          <xdr:rowOff>15840</xdr:rowOff>
        </xdr:from>
        <xdr:to>
          <xdr:col>30</xdr:col>
          <xdr:colOff>48103</xdr:colOff>
          <xdr:row>13</xdr:row>
          <xdr:rowOff>30516</xdr:rowOff>
        </xdr:to>
        <xdr:pic>
          <xdr:nvPicPr>
            <xdr:cNvPr id="57" name="Picture 56">
              <a:extLst>
                <a:ext uri="{FF2B5EF4-FFF2-40B4-BE49-F238E27FC236}">
                  <a16:creationId xmlns:a16="http://schemas.microsoft.com/office/drawing/2014/main" id="{E4F6B858-1563-C962-E6AE-E1DAFE3FA9EA}"/>
                </a:ext>
              </a:extLst>
            </xdr:cNvPr>
            <xdr:cNvPicPr>
              <a:picLocks noChangeAspect="1" noChangeArrowheads="1"/>
              <a:extLst>
                <a:ext uri="{84589F7E-364E-4C9E-8A38-B11213B215E9}">
                  <a14:cameraTool cellRange="Analysis!$M$9" spid="_x0000_s9419"/>
                </a:ext>
              </a:extLst>
            </xdr:cNvPicPr>
          </xdr:nvPicPr>
          <xdr:blipFill>
            <a:blip xmlns:r="http://schemas.openxmlformats.org/officeDocument/2006/relationships" r:embed="rId10"/>
            <a:srcRect/>
            <a:stretch>
              <a:fillRect/>
            </a:stretch>
          </xdr:blipFill>
          <xdr:spPr bwMode="auto">
            <a:xfrm>
              <a:off x="16768425" y="1784769"/>
              <a:ext cx="1649321" cy="54535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277844</xdr:colOff>
          <xdr:row>10</xdr:row>
          <xdr:rowOff>8217</xdr:rowOff>
        </xdr:from>
        <xdr:to>
          <xdr:col>36</xdr:col>
          <xdr:colOff>119095</xdr:colOff>
          <xdr:row>13</xdr:row>
          <xdr:rowOff>38139</xdr:rowOff>
        </xdr:to>
        <xdr:pic>
          <xdr:nvPicPr>
            <xdr:cNvPr id="58" name="Picture 57">
              <a:extLst>
                <a:ext uri="{FF2B5EF4-FFF2-40B4-BE49-F238E27FC236}">
                  <a16:creationId xmlns:a16="http://schemas.microsoft.com/office/drawing/2014/main" id="{8CC74FEF-5F0D-2613-E081-A91980E52E12}"/>
                </a:ext>
              </a:extLst>
            </xdr:cNvPr>
            <xdr:cNvPicPr>
              <a:picLocks noChangeAspect="1" noChangeArrowheads="1"/>
              <a:extLst>
                <a:ext uri="{84589F7E-364E-4C9E-8A38-B11213B215E9}">
                  <a14:cameraTool cellRange="Analysis!$O$9" spid="_x0000_s9420"/>
                </a:ext>
              </a:extLst>
            </xdr:cNvPicPr>
          </xdr:nvPicPr>
          <xdr:blipFill>
            <a:blip xmlns:r="http://schemas.openxmlformats.org/officeDocument/2006/relationships" r:embed="rId11"/>
            <a:srcRect/>
            <a:stretch>
              <a:fillRect/>
            </a:stretch>
          </xdr:blipFill>
          <xdr:spPr bwMode="auto">
            <a:xfrm>
              <a:off x="19872130" y="1777146"/>
              <a:ext cx="2290536" cy="5606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189838</xdr:colOff>
          <xdr:row>10</xdr:row>
          <xdr:rowOff>4940</xdr:rowOff>
        </xdr:from>
        <xdr:to>
          <xdr:col>20</xdr:col>
          <xdr:colOff>93634</xdr:colOff>
          <xdr:row>13</xdr:row>
          <xdr:rowOff>41416</xdr:rowOff>
        </xdr:to>
        <xdr:pic>
          <xdr:nvPicPr>
            <xdr:cNvPr id="59" name="Picture 58">
              <a:extLst>
                <a:ext uri="{FF2B5EF4-FFF2-40B4-BE49-F238E27FC236}">
                  <a16:creationId xmlns:a16="http://schemas.microsoft.com/office/drawing/2014/main" id="{D52A6ED0-83D9-4993-5936-FBE6A832BE78}"/>
                </a:ext>
              </a:extLst>
            </xdr:cNvPr>
            <xdr:cNvPicPr>
              <a:picLocks noChangeAspect="1" noChangeArrowheads="1"/>
              <a:extLst>
                <a:ext uri="{84589F7E-364E-4C9E-8A38-B11213B215E9}">
                  <a14:cameraTool cellRange="Analysis!$Q$9" spid="_x0000_s9421"/>
                </a:ext>
              </a:extLst>
            </xdr:cNvPicPr>
          </xdr:nvPicPr>
          <xdr:blipFill>
            <a:blip xmlns:r="http://schemas.openxmlformats.org/officeDocument/2006/relationships" r:embed="rId12"/>
            <a:srcRect/>
            <a:stretch>
              <a:fillRect/>
            </a:stretch>
          </xdr:blipFill>
          <xdr:spPr bwMode="auto">
            <a:xfrm>
              <a:off x="10599302" y="1773869"/>
              <a:ext cx="1740761" cy="567154"/>
            </a:xfrm>
            <a:prstGeom prst="rect">
              <a:avLst/>
            </a:prstGeom>
            <a:noFill/>
            <a:ln w="9525">
              <a:noFill/>
              <a:miter lim="800000"/>
              <a:headEnd/>
              <a:tailEnd/>
            </a:ln>
          </xdr:spPr>
        </xdr:pic>
        <xdr:clientData/>
      </xdr:twoCellAnchor>
    </mc:Choice>
    <mc:Fallback/>
  </mc:AlternateContent>
  <xdr:twoCellAnchor>
    <xdr:from>
      <xdr:col>7</xdr:col>
      <xdr:colOff>108853</xdr:colOff>
      <xdr:row>16</xdr:row>
      <xdr:rowOff>163286</xdr:rowOff>
    </xdr:from>
    <xdr:to>
      <xdr:col>13</xdr:col>
      <xdr:colOff>190495</xdr:colOff>
      <xdr:row>19</xdr:row>
      <xdr:rowOff>95250</xdr:rowOff>
    </xdr:to>
    <xdr:sp macro="" textlink="">
      <xdr:nvSpPr>
        <xdr:cNvPr id="60" name="TextBox 59">
          <a:extLst>
            <a:ext uri="{FF2B5EF4-FFF2-40B4-BE49-F238E27FC236}">
              <a16:creationId xmlns:a16="http://schemas.microsoft.com/office/drawing/2014/main" id="{CBC0A33D-D5DF-4D85-FA69-C4E5D4EBC55F}"/>
            </a:ext>
          </a:extLst>
        </xdr:cNvPr>
        <xdr:cNvSpPr txBox="1"/>
      </xdr:nvSpPr>
      <xdr:spPr>
        <a:xfrm>
          <a:off x="4395103" y="2993572"/>
          <a:ext cx="3755571"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5E82A6"/>
              </a:solidFill>
              <a:latin typeface="Century Gothic" panose="020B0502020202020204" pitchFamily="34" charset="0"/>
            </a:rPr>
            <a:t>Monthly Trend On</a:t>
          </a:r>
          <a:r>
            <a:rPr lang="en-US" sz="2000" b="1" baseline="0">
              <a:solidFill>
                <a:srgbClr val="5E82A6"/>
              </a:solidFill>
              <a:latin typeface="Century Gothic" panose="020B0502020202020204" pitchFamily="34" charset="0"/>
            </a:rPr>
            <a:t> Revenue</a:t>
          </a:r>
        </a:p>
      </xdr:txBody>
    </xdr:sp>
    <xdr:clientData/>
  </xdr:twoCellAnchor>
  <xdr:twoCellAnchor>
    <xdr:from>
      <xdr:col>7</xdr:col>
      <xdr:colOff>81637</xdr:colOff>
      <xdr:row>18</xdr:row>
      <xdr:rowOff>163285</xdr:rowOff>
    </xdr:from>
    <xdr:to>
      <xdr:col>18</xdr:col>
      <xdr:colOff>18906</xdr:colOff>
      <xdr:row>21</xdr:row>
      <xdr:rowOff>40821</xdr:rowOff>
    </xdr:to>
    <xdr:sp macro="" textlink="">
      <xdr:nvSpPr>
        <xdr:cNvPr id="61" name="TextBox 60">
          <a:extLst>
            <a:ext uri="{FF2B5EF4-FFF2-40B4-BE49-F238E27FC236}">
              <a16:creationId xmlns:a16="http://schemas.microsoft.com/office/drawing/2014/main" id="{2E81CC28-4BA1-E29A-401A-AAB12AC188EB}"/>
            </a:ext>
          </a:extLst>
        </xdr:cNvPr>
        <xdr:cNvSpPr txBox="1"/>
      </xdr:nvSpPr>
      <xdr:spPr>
        <a:xfrm>
          <a:off x="4367887" y="3347356"/>
          <a:ext cx="6672805"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baseline="0">
              <a:solidFill>
                <a:schemeClr val="dk1"/>
              </a:solidFill>
              <a:effectLst/>
              <a:latin typeface="Century Gothic" panose="020B0502020202020204" pitchFamily="34" charset="0"/>
              <a:ea typeface="+mn-ea"/>
              <a:cs typeface="+mn-cs"/>
            </a:rPr>
            <a:t>Peak Sales Month: October with </a:t>
          </a:r>
          <a:r>
            <a:rPr lang="en-US" sz="1600" b="1" i="0">
              <a:solidFill>
                <a:schemeClr val="dk1"/>
              </a:solidFill>
              <a:effectLst/>
              <a:latin typeface="Century Gothic" panose="020B0502020202020204" pitchFamily="34" charset="0"/>
              <a:ea typeface="+mn-ea"/>
              <a:cs typeface="+mn-cs"/>
            </a:rPr>
            <a:t>₦54.23 M</a:t>
          </a:r>
          <a:r>
            <a:rPr lang="en-US" sz="1600" b="1">
              <a:solidFill>
                <a:schemeClr val="dk1"/>
              </a:solidFill>
              <a:effectLst/>
              <a:latin typeface="Century Gothic" panose="020B0502020202020204" pitchFamily="34" charset="0"/>
              <a:ea typeface="+mn-ea"/>
              <a:cs typeface="+mn-cs"/>
            </a:rPr>
            <a:t> In Revenue Generated</a:t>
          </a:r>
          <a:endParaRPr lang="en-US" sz="1600">
            <a:effectLst/>
            <a:latin typeface="Century Gothic" panose="020B0502020202020204" pitchFamily="34" charset="0"/>
          </a:endParaRPr>
        </a:p>
        <a:p>
          <a:endParaRPr lang="en-US" sz="1100"/>
        </a:p>
      </xdr:txBody>
    </xdr:sp>
    <xdr:clientData/>
  </xdr:twoCellAnchor>
  <xdr:twoCellAnchor>
    <xdr:from>
      <xdr:col>7</xdr:col>
      <xdr:colOff>43540</xdr:colOff>
      <xdr:row>40</xdr:row>
      <xdr:rowOff>70758</xdr:rowOff>
    </xdr:from>
    <xdr:to>
      <xdr:col>15</xdr:col>
      <xdr:colOff>299353</xdr:colOff>
      <xdr:row>44</xdr:row>
      <xdr:rowOff>95250</xdr:rowOff>
    </xdr:to>
    <xdr:sp macro="" textlink="">
      <xdr:nvSpPr>
        <xdr:cNvPr id="62" name="TextBox 61">
          <a:extLst>
            <a:ext uri="{FF2B5EF4-FFF2-40B4-BE49-F238E27FC236}">
              <a16:creationId xmlns:a16="http://schemas.microsoft.com/office/drawing/2014/main" id="{7128D106-8EB3-9529-4408-352694F83A29}"/>
            </a:ext>
          </a:extLst>
        </xdr:cNvPr>
        <xdr:cNvSpPr txBox="1"/>
      </xdr:nvSpPr>
      <xdr:spPr>
        <a:xfrm>
          <a:off x="4329790" y="7146472"/>
          <a:ext cx="5154384" cy="73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rgbClr val="5E82A6"/>
              </a:solidFill>
              <a:latin typeface="Century Gothic" panose="020B0502020202020204" pitchFamily="34" charset="0"/>
            </a:rPr>
            <a:t>Revenue By Region</a:t>
          </a:r>
        </a:p>
        <a:p>
          <a:r>
            <a:rPr lang="en-US" sz="1600" b="1" baseline="0">
              <a:solidFill>
                <a:schemeClr val="tx1"/>
              </a:solidFill>
              <a:latin typeface="Century Gothic" panose="020B0502020202020204" pitchFamily="34" charset="0"/>
            </a:rPr>
            <a:t>Region East Generated the Most Revenue</a:t>
          </a:r>
        </a:p>
      </xdr:txBody>
    </xdr:sp>
    <xdr:clientData/>
  </xdr:twoCellAnchor>
  <xdr:twoCellAnchor>
    <xdr:from>
      <xdr:col>22</xdr:col>
      <xdr:colOff>141992</xdr:colOff>
      <xdr:row>17</xdr:row>
      <xdr:rowOff>39064</xdr:rowOff>
    </xdr:from>
    <xdr:to>
      <xdr:col>27</xdr:col>
      <xdr:colOff>27209</xdr:colOff>
      <xdr:row>19</xdr:row>
      <xdr:rowOff>163286</xdr:rowOff>
    </xdr:to>
    <xdr:sp macro="" textlink="">
      <xdr:nvSpPr>
        <xdr:cNvPr id="63" name="TextBox 62">
          <a:extLst>
            <a:ext uri="{FF2B5EF4-FFF2-40B4-BE49-F238E27FC236}">
              <a16:creationId xmlns:a16="http://schemas.microsoft.com/office/drawing/2014/main" id="{55196CFE-95B2-47A2-AC90-FE63F7F9F029}"/>
            </a:ext>
          </a:extLst>
        </xdr:cNvPr>
        <xdr:cNvSpPr txBox="1"/>
      </xdr:nvSpPr>
      <xdr:spPr>
        <a:xfrm>
          <a:off x="13613063" y="3046243"/>
          <a:ext cx="2946825" cy="478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rgbClr val="5E82A6"/>
              </a:solidFill>
              <a:latin typeface="Century Gothic" panose="020B0502020202020204" pitchFamily="34" charset="0"/>
            </a:rPr>
            <a:t>Revenue By Category</a:t>
          </a:r>
        </a:p>
        <a:p>
          <a:endParaRPr lang="en-US" sz="1800" b="1" baseline="0">
            <a:solidFill>
              <a:schemeClr val="tx1"/>
            </a:solidFill>
            <a:latin typeface="Century Gothic" panose="020B0502020202020204" pitchFamily="34" charset="0"/>
          </a:endParaRPr>
        </a:p>
      </xdr:txBody>
    </xdr:sp>
    <xdr:clientData/>
  </xdr:twoCellAnchor>
  <xdr:twoCellAnchor>
    <xdr:from>
      <xdr:col>29</xdr:col>
      <xdr:colOff>512106</xdr:colOff>
      <xdr:row>17</xdr:row>
      <xdr:rowOff>55392</xdr:rowOff>
    </xdr:from>
    <xdr:to>
      <xdr:col>34</xdr:col>
      <xdr:colOff>397323</xdr:colOff>
      <xdr:row>20</xdr:row>
      <xdr:rowOff>2721</xdr:rowOff>
    </xdr:to>
    <xdr:sp macro="" textlink="">
      <xdr:nvSpPr>
        <xdr:cNvPr id="64" name="TextBox 63">
          <a:extLst>
            <a:ext uri="{FF2B5EF4-FFF2-40B4-BE49-F238E27FC236}">
              <a16:creationId xmlns:a16="http://schemas.microsoft.com/office/drawing/2014/main" id="{92E51B0A-A7C4-342F-84B3-D0CCFC799FBA}"/>
            </a:ext>
          </a:extLst>
        </xdr:cNvPr>
        <xdr:cNvSpPr txBox="1"/>
      </xdr:nvSpPr>
      <xdr:spPr>
        <a:xfrm>
          <a:off x="18269427" y="3062571"/>
          <a:ext cx="2946825" cy="478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rgbClr val="5E82A6"/>
              </a:solidFill>
              <a:latin typeface="Century Gothic" panose="020B0502020202020204" pitchFamily="34" charset="0"/>
            </a:rPr>
            <a:t>Revenue By Channel</a:t>
          </a:r>
        </a:p>
        <a:p>
          <a:endParaRPr lang="en-US" sz="1800" b="1" baseline="0">
            <a:solidFill>
              <a:schemeClr val="tx1"/>
            </a:solidFill>
            <a:latin typeface="Century Gothic" panose="020B0502020202020204" pitchFamily="34" charset="0"/>
          </a:endParaRPr>
        </a:p>
      </xdr:txBody>
    </xdr:sp>
    <xdr:clientData/>
  </xdr:twoCellAnchor>
  <xdr:twoCellAnchor>
    <xdr:from>
      <xdr:col>17</xdr:col>
      <xdr:colOff>199142</xdr:colOff>
      <xdr:row>40</xdr:row>
      <xdr:rowOff>96215</xdr:rowOff>
    </xdr:from>
    <xdr:to>
      <xdr:col>24</xdr:col>
      <xdr:colOff>190495</xdr:colOff>
      <xdr:row>43</xdr:row>
      <xdr:rowOff>136071</xdr:rowOff>
    </xdr:to>
    <xdr:sp macro="" textlink="">
      <xdr:nvSpPr>
        <xdr:cNvPr id="65" name="TextBox 64">
          <a:extLst>
            <a:ext uri="{FF2B5EF4-FFF2-40B4-BE49-F238E27FC236}">
              <a16:creationId xmlns:a16="http://schemas.microsoft.com/office/drawing/2014/main" id="{89C2B656-450D-D0B0-41F4-EDE7CA3E2C0F}"/>
            </a:ext>
          </a:extLst>
        </xdr:cNvPr>
        <xdr:cNvSpPr txBox="1"/>
      </xdr:nvSpPr>
      <xdr:spPr>
        <a:xfrm>
          <a:off x="10608606" y="7171929"/>
          <a:ext cx="4277603" cy="57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rgbClr val="5E82A6"/>
              </a:solidFill>
              <a:latin typeface="Century Gothic" panose="020B0502020202020204" pitchFamily="34" charset="0"/>
            </a:rPr>
            <a:t>Top Five Revenue By Sales Rep</a:t>
          </a:r>
        </a:p>
        <a:p>
          <a:endParaRPr lang="en-US" sz="1800" b="1" baseline="0">
            <a:solidFill>
              <a:schemeClr val="tx1"/>
            </a:solidFill>
            <a:latin typeface="Century Gothic" panose="020B0502020202020204" pitchFamily="34" charset="0"/>
          </a:endParaRPr>
        </a:p>
      </xdr:txBody>
    </xdr:sp>
    <xdr:clientData/>
  </xdr:twoCellAnchor>
  <xdr:twoCellAnchor>
    <xdr:from>
      <xdr:col>27</xdr:col>
      <xdr:colOff>215469</xdr:colOff>
      <xdr:row>40</xdr:row>
      <xdr:rowOff>58115</xdr:rowOff>
    </xdr:from>
    <xdr:to>
      <xdr:col>35</xdr:col>
      <xdr:colOff>557887</xdr:colOff>
      <xdr:row>44</xdr:row>
      <xdr:rowOff>68035</xdr:rowOff>
    </xdr:to>
    <xdr:sp macro="" textlink="">
      <xdr:nvSpPr>
        <xdr:cNvPr id="66" name="TextBox 65">
          <a:extLst>
            <a:ext uri="{FF2B5EF4-FFF2-40B4-BE49-F238E27FC236}">
              <a16:creationId xmlns:a16="http://schemas.microsoft.com/office/drawing/2014/main" id="{E5BA9A97-58F3-8335-FD64-0EE0C680973A}"/>
            </a:ext>
          </a:extLst>
        </xdr:cNvPr>
        <xdr:cNvSpPr txBox="1"/>
      </xdr:nvSpPr>
      <xdr:spPr>
        <a:xfrm>
          <a:off x="16748148" y="7133829"/>
          <a:ext cx="5240989" cy="71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rgbClr val="5E82A6"/>
              </a:solidFill>
              <a:latin typeface="Century Gothic" panose="020B0502020202020204" pitchFamily="34" charset="0"/>
            </a:rPr>
            <a:t>Orders Status</a:t>
          </a:r>
        </a:p>
        <a:p>
          <a:r>
            <a:rPr lang="en-US" sz="1600" b="1" baseline="0">
              <a:solidFill>
                <a:schemeClr val="tx1"/>
              </a:solidFill>
              <a:latin typeface="Century Gothic" panose="020B0502020202020204" pitchFamily="34" charset="0"/>
            </a:rPr>
            <a:t>61% Of Orders were Completed</a:t>
          </a:r>
        </a:p>
        <a:p>
          <a:endParaRPr lang="en-US" sz="1800" b="1" baseline="0">
            <a:solidFill>
              <a:schemeClr val="tx1"/>
            </a:solidFill>
            <a:latin typeface="Century Gothic" panose="020B0502020202020204" pitchFamily="34" charset="0"/>
          </a:endParaRPr>
        </a:p>
      </xdr:txBody>
    </xdr:sp>
    <xdr:clientData/>
  </xdr:twoCellAnchor>
  <xdr:twoCellAnchor>
    <xdr:from>
      <xdr:col>7</xdr:col>
      <xdr:colOff>122459</xdr:colOff>
      <xdr:row>7</xdr:row>
      <xdr:rowOff>38099</xdr:rowOff>
    </xdr:from>
    <xdr:to>
      <xdr:col>10</xdr:col>
      <xdr:colOff>367388</xdr:colOff>
      <xdr:row>10</xdr:row>
      <xdr:rowOff>10884</xdr:rowOff>
    </xdr:to>
    <xdr:sp macro="" textlink="">
      <xdr:nvSpPr>
        <xdr:cNvPr id="67" name="TextBox 66">
          <a:extLst>
            <a:ext uri="{FF2B5EF4-FFF2-40B4-BE49-F238E27FC236}">
              <a16:creationId xmlns:a16="http://schemas.microsoft.com/office/drawing/2014/main" id="{67829D75-79A2-4AD9-82FD-26BFFCBCA051}"/>
            </a:ext>
          </a:extLst>
        </xdr:cNvPr>
        <xdr:cNvSpPr txBox="1"/>
      </xdr:nvSpPr>
      <xdr:spPr>
        <a:xfrm>
          <a:off x="4408709" y="1276349"/>
          <a:ext cx="2081893"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E82A6"/>
              </a:solidFill>
              <a:latin typeface="Century Gothic" panose="020B0502020202020204" pitchFamily="34" charset="0"/>
            </a:rPr>
            <a:t>Revenue</a:t>
          </a:r>
        </a:p>
      </xdr:txBody>
    </xdr:sp>
    <xdr:clientData/>
  </xdr:twoCellAnchor>
  <xdr:twoCellAnchor>
    <xdr:from>
      <xdr:col>12</xdr:col>
      <xdr:colOff>138788</xdr:colOff>
      <xdr:row>7</xdr:row>
      <xdr:rowOff>38099</xdr:rowOff>
    </xdr:from>
    <xdr:to>
      <xdr:col>16</xdr:col>
      <xdr:colOff>190495</xdr:colOff>
      <xdr:row>10</xdr:row>
      <xdr:rowOff>8163</xdr:rowOff>
    </xdr:to>
    <xdr:sp macro="" textlink="">
      <xdr:nvSpPr>
        <xdr:cNvPr id="68" name="TextBox 67">
          <a:extLst>
            <a:ext uri="{FF2B5EF4-FFF2-40B4-BE49-F238E27FC236}">
              <a16:creationId xmlns:a16="http://schemas.microsoft.com/office/drawing/2014/main" id="{44C5EB02-9E73-EC02-4517-57FA04FE6972}"/>
            </a:ext>
          </a:extLst>
        </xdr:cNvPr>
        <xdr:cNvSpPr txBox="1"/>
      </xdr:nvSpPr>
      <xdr:spPr>
        <a:xfrm>
          <a:off x="7486645" y="1276349"/>
          <a:ext cx="2500993"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E82A6"/>
              </a:solidFill>
              <a:latin typeface="Century Gothic" panose="020B0502020202020204" pitchFamily="34" charset="0"/>
            </a:rPr>
            <a:t>Total</a:t>
          </a:r>
          <a:r>
            <a:rPr lang="en-US" sz="2400" b="1" baseline="0">
              <a:solidFill>
                <a:srgbClr val="5E82A6"/>
              </a:solidFill>
              <a:latin typeface="Century Gothic" panose="020B0502020202020204" pitchFamily="34" charset="0"/>
            </a:rPr>
            <a:t> Orders</a:t>
          </a:r>
          <a:endParaRPr lang="en-US" sz="2400" b="1">
            <a:solidFill>
              <a:srgbClr val="5E82A6"/>
            </a:solidFill>
            <a:latin typeface="Century Gothic" panose="020B0502020202020204" pitchFamily="34" charset="0"/>
          </a:endParaRPr>
        </a:p>
      </xdr:txBody>
    </xdr:sp>
    <xdr:clientData/>
  </xdr:twoCellAnchor>
  <xdr:twoCellAnchor>
    <xdr:from>
      <xdr:col>17</xdr:col>
      <xdr:colOff>155117</xdr:colOff>
      <xdr:row>7</xdr:row>
      <xdr:rowOff>38099</xdr:rowOff>
    </xdr:from>
    <xdr:to>
      <xdr:col>21</xdr:col>
      <xdr:colOff>380995</xdr:colOff>
      <xdr:row>10</xdr:row>
      <xdr:rowOff>87085</xdr:rowOff>
    </xdr:to>
    <xdr:sp macro="" textlink="">
      <xdr:nvSpPr>
        <xdr:cNvPr id="69" name="TextBox 68">
          <a:extLst>
            <a:ext uri="{FF2B5EF4-FFF2-40B4-BE49-F238E27FC236}">
              <a16:creationId xmlns:a16="http://schemas.microsoft.com/office/drawing/2014/main" id="{E0898FB3-9524-0A11-7F8E-7A44B4D7EA0A}"/>
            </a:ext>
          </a:extLst>
        </xdr:cNvPr>
        <xdr:cNvSpPr txBox="1"/>
      </xdr:nvSpPr>
      <xdr:spPr>
        <a:xfrm>
          <a:off x="10564581" y="1276349"/>
          <a:ext cx="2675164" cy="579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E82A6"/>
              </a:solidFill>
              <a:latin typeface="Century Gothic" panose="020B0502020202020204" pitchFamily="34" charset="0"/>
            </a:rPr>
            <a:t>Quantity</a:t>
          </a:r>
          <a:r>
            <a:rPr lang="en-US" sz="2400" b="1" baseline="0">
              <a:solidFill>
                <a:srgbClr val="5E82A6"/>
              </a:solidFill>
              <a:latin typeface="Century Gothic" panose="020B0502020202020204" pitchFamily="34" charset="0"/>
            </a:rPr>
            <a:t> Sold</a:t>
          </a:r>
          <a:endParaRPr lang="en-US" sz="2400" b="1">
            <a:solidFill>
              <a:srgbClr val="5E82A6"/>
            </a:solidFill>
            <a:latin typeface="Century Gothic" panose="020B0502020202020204" pitchFamily="34" charset="0"/>
          </a:endParaRPr>
        </a:p>
      </xdr:txBody>
    </xdr:sp>
    <xdr:clientData/>
  </xdr:twoCellAnchor>
  <xdr:twoCellAnchor>
    <xdr:from>
      <xdr:col>22</xdr:col>
      <xdr:colOff>171446</xdr:colOff>
      <xdr:row>7</xdr:row>
      <xdr:rowOff>38099</xdr:rowOff>
    </xdr:from>
    <xdr:to>
      <xdr:col>25</xdr:col>
      <xdr:colOff>416374</xdr:colOff>
      <xdr:row>10</xdr:row>
      <xdr:rowOff>10884</xdr:rowOff>
    </xdr:to>
    <xdr:sp macro="" textlink="">
      <xdr:nvSpPr>
        <xdr:cNvPr id="70" name="TextBox 69">
          <a:extLst>
            <a:ext uri="{FF2B5EF4-FFF2-40B4-BE49-F238E27FC236}">
              <a16:creationId xmlns:a16="http://schemas.microsoft.com/office/drawing/2014/main" id="{D4C12DDA-2C01-4F6F-4983-06CBC079A91E}"/>
            </a:ext>
          </a:extLst>
        </xdr:cNvPr>
        <xdr:cNvSpPr txBox="1"/>
      </xdr:nvSpPr>
      <xdr:spPr>
        <a:xfrm>
          <a:off x="13642517" y="1276349"/>
          <a:ext cx="2081893"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E82A6"/>
              </a:solidFill>
              <a:latin typeface="Century Gothic" panose="020B0502020202020204" pitchFamily="34" charset="0"/>
            </a:rPr>
            <a:t>Discount</a:t>
          </a:r>
        </a:p>
      </xdr:txBody>
    </xdr:sp>
    <xdr:clientData/>
  </xdr:twoCellAnchor>
  <xdr:twoCellAnchor>
    <xdr:from>
      <xdr:col>27</xdr:col>
      <xdr:colOff>190462</xdr:colOff>
      <xdr:row>7</xdr:row>
      <xdr:rowOff>25183</xdr:rowOff>
    </xdr:from>
    <xdr:to>
      <xdr:col>31</xdr:col>
      <xdr:colOff>535461</xdr:colOff>
      <xdr:row>10</xdr:row>
      <xdr:rowOff>136762</xdr:rowOff>
    </xdr:to>
    <xdr:sp macro="" textlink="">
      <xdr:nvSpPr>
        <xdr:cNvPr id="71" name="TextBox 70">
          <a:extLst>
            <a:ext uri="{FF2B5EF4-FFF2-40B4-BE49-F238E27FC236}">
              <a16:creationId xmlns:a16="http://schemas.microsoft.com/office/drawing/2014/main" id="{52556A3A-D7AE-2BD9-D30E-6C7A0C9096CF}"/>
            </a:ext>
          </a:extLst>
        </xdr:cNvPr>
        <xdr:cNvSpPr txBox="1"/>
      </xdr:nvSpPr>
      <xdr:spPr>
        <a:xfrm>
          <a:off x="16686732" y="1322642"/>
          <a:ext cx="2788891" cy="667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E82A6"/>
              </a:solidFill>
              <a:latin typeface="Century Gothic" panose="020B0502020202020204" pitchFamily="34" charset="0"/>
            </a:rPr>
            <a:t>Avg</a:t>
          </a:r>
          <a:r>
            <a:rPr lang="en-US" sz="2400" b="1" baseline="0">
              <a:solidFill>
                <a:srgbClr val="5E82A6"/>
              </a:solidFill>
              <a:latin typeface="Century Gothic" panose="020B0502020202020204" pitchFamily="34" charset="0"/>
            </a:rPr>
            <a:t> Order Value</a:t>
          </a:r>
          <a:endParaRPr lang="en-US" sz="2400" b="1">
            <a:solidFill>
              <a:srgbClr val="5E82A6"/>
            </a:solidFill>
            <a:latin typeface="Century Gothic" panose="020B0502020202020204" pitchFamily="34" charset="0"/>
          </a:endParaRPr>
        </a:p>
      </xdr:txBody>
    </xdr:sp>
    <xdr:clientData/>
  </xdr:twoCellAnchor>
  <xdr:twoCellAnchor>
    <xdr:from>
      <xdr:col>32</xdr:col>
      <xdr:colOff>312960</xdr:colOff>
      <xdr:row>7</xdr:row>
      <xdr:rowOff>38099</xdr:rowOff>
    </xdr:from>
    <xdr:to>
      <xdr:col>36</xdr:col>
      <xdr:colOff>312960</xdr:colOff>
      <xdr:row>9</xdr:row>
      <xdr:rowOff>174172</xdr:rowOff>
    </xdr:to>
    <xdr:sp macro="" textlink="">
      <xdr:nvSpPr>
        <xdr:cNvPr id="72" name="TextBox 71">
          <a:extLst>
            <a:ext uri="{FF2B5EF4-FFF2-40B4-BE49-F238E27FC236}">
              <a16:creationId xmlns:a16="http://schemas.microsoft.com/office/drawing/2014/main" id="{77D54CD7-4E38-C2E8-70DF-3475A3739EB6}"/>
            </a:ext>
          </a:extLst>
        </xdr:cNvPr>
        <xdr:cNvSpPr txBox="1"/>
      </xdr:nvSpPr>
      <xdr:spPr>
        <a:xfrm>
          <a:off x="19907246" y="1276349"/>
          <a:ext cx="2449285" cy="48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E82A6"/>
              </a:solidFill>
              <a:latin typeface="Century Gothic" panose="020B0502020202020204" pitchFamily="34" charset="0"/>
            </a:rPr>
            <a:t>Return</a:t>
          </a:r>
          <a:r>
            <a:rPr lang="en-US" sz="2400" b="1" baseline="0">
              <a:solidFill>
                <a:srgbClr val="5E82A6"/>
              </a:solidFill>
              <a:latin typeface="Century Gothic" panose="020B0502020202020204" pitchFamily="34" charset="0"/>
            </a:rPr>
            <a:t> Rate</a:t>
          </a:r>
          <a:endParaRPr lang="en-US" sz="2400" b="1">
            <a:solidFill>
              <a:srgbClr val="5E82A6"/>
            </a:solidFill>
            <a:latin typeface="Century Gothic" panose="020B0502020202020204" pitchFamily="34" charset="0"/>
          </a:endParaRPr>
        </a:p>
      </xdr:txBody>
    </xdr:sp>
    <xdr:clientData/>
  </xdr:twoCellAnchor>
  <xdr:twoCellAnchor>
    <xdr:from>
      <xdr:col>6</xdr:col>
      <xdr:colOff>598708</xdr:colOff>
      <xdr:row>1</xdr:row>
      <xdr:rowOff>136071</xdr:rowOff>
    </xdr:from>
    <xdr:to>
      <xdr:col>21</xdr:col>
      <xdr:colOff>394602</xdr:colOff>
      <xdr:row>7</xdr:row>
      <xdr:rowOff>68036</xdr:rowOff>
    </xdr:to>
    <xdr:sp macro="" textlink="">
      <xdr:nvSpPr>
        <xdr:cNvPr id="74" name="TextBox 73">
          <a:extLst>
            <a:ext uri="{FF2B5EF4-FFF2-40B4-BE49-F238E27FC236}">
              <a16:creationId xmlns:a16="http://schemas.microsoft.com/office/drawing/2014/main" id="{47F04DB9-DDA8-6A93-12CD-00260A99F96E}"/>
            </a:ext>
          </a:extLst>
        </xdr:cNvPr>
        <xdr:cNvSpPr txBox="1"/>
      </xdr:nvSpPr>
      <xdr:spPr>
        <a:xfrm>
          <a:off x="4272637" y="312964"/>
          <a:ext cx="8980715" cy="993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5E82A6"/>
              </a:solidFill>
              <a:latin typeface="Century Gothic" panose="020B0502020202020204" pitchFamily="34" charset="0"/>
            </a:rPr>
            <a:t>Consumer</a:t>
          </a:r>
          <a:r>
            <a:rPr lang="en-US" sz="2800" b="1" baseline="0">
              <a:solidFill>
                <a:srgbClr val="5E82A6"/>
              </a:solidFill>
              <a:latin typeface="Century Gothic" panose="020B0502020202020204" pitchFamily="34" charset="0"/>
            </a:rPr>
            <a:t> Accessories/Electronics Sales Overview</a:t>
          </a:r>
        </a:p>
        <a:p>
          <a:r>
            <a:rPr lang="en-US" sz="2000" b="1" baseline="0">
              <a:solidFill>
                <a:schemeClr val="tx1"/>
              </a:solidFill>
              <a:latin typeface="Century Gothic" panose="020B0502020202020204" pitchFamily="34" charset="0"/>
            </a:rPr>
            <a:t>A Summary Of Sales Performance </a:t>
          </a:r>
          <a:endParaRPr lang="en-US" sz="1800" b="1">
            <a:solidFill>
              <a:schemeClr val="tx1"/>
            </a:solidFill>
            <a:latin typeface="Century Gothic" panose="020B0502020202020204" pitchFamily="34" charset="0"/>
          </a:endParaRPr>
        </a:p>
      </xdr:txBody>
    </xdr:sp>
    <xdr:clientData/>
  </xdr:twoCellAnchor>
  <xdr:twoCellAnchor editAs="oneCell">
    <xdr:from>
      <xdr:col>2</xdr:col>
      <xdr:colOff>439874</xdr:colOff>
      <xdr:row>58</xdr:row>
      <xdr:rowOff>99238</xdr:rowOff>
    </xdr:from>
    <xdr:to>
      <xdr:col>4</xdr:col>
      <xdr:colOff>116991</xdr:colOff>
      <xdr:row>63</xdr:row>
      <xdr:rowOff>73468</xdr:rowOff>
    </xdr:to>
    <xdr:pic>
      <xdr:nvPicPr>
        <xdr:cNvPr id="79" name="Picture 78">
          <a:hlinkClick xmlns:r="http://schemas.openxmlformats.org/officeDocument/2006/relationships" r:id="rId13"/>
          <a:extLst>
            <a:ext uri="{FF2B5EF4-FFF2-40B4-BE49-F238E27FC236}">
              <a16:creationId xmlns:a16="http://schemas.microsoft.com/office/drawing/2014/main" id="{83CA0E66-05A0-4F9C-B324-3B072391BE63}"/>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1661820" y="10849616"/>
          <a:ext cx="899063" cy="900987"/>
        </a:xfrm>
        <a:prstGeom prst="rect">
          <a:avLst/>
        </a:prstGeom>
        <a:noFill/>
      </xdr:spPr>
    </xdr:pic>
    <xdr:clientData/>
  </xdr:twoCellAnchor>
  <xdr:twoCellAnchor>
    <xdr:from>
      <xdr:col>3</xdr:col>
      <xdr:colOff>526826</xdr:colOff>
      <xdr:row>57</xdr:row>
      <xdr:rowOff>64577</xdr:rowOff>
    </xdr:from>
    <xdr:to>
      <xdr:col>7</xdr:col>
      <xdr:colOff>303043</xdr:colOff>
      <xdr:row>64</xdr:row>
      <xdr:rowOff>38745</xdr:rowOff>
    </xdr:to>
    <xdr:sp macro="" textlink="">
      <xdr:nvSpPr>
        <xdr:cNvPr id="80" name="TextBox 79">
          <a:extLst>
            <a:ext uri="{FF2B5EF4-FFF2-40B4-BE49-F238E27FC236}">
              <a16:creationId xmlns:a16="http://schemas.microsoft.com/office/drawing/2014/main" id="{339D36A4-C28B-4872-855F-563EC187E512}"/>
            </a:ext>
          </a:extLst>
        </xdr:cNvPr>
        <xdr:cNvSpPr txBox="1"/>
      </xdr:nvSpPr>
      <xdr:spPr>
        <a:xfrm>
          <a:off x="2363790" y="10147470"/>
          <a:ext cx="2225503" cy="121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latin typeface="Leelawadee UI Semilight" panose="020B0402040204020203" pitchFamily="34" charset="-34"/>
              <a:cs typeface="Leelawadee UI Semilight" panose="020B0402040204020203" pitchFamily="34" charset="-34"/>
            </a:rPr>
            <a:t>Created by</a:t>
          </a:r>
        </a:p>
        <a:p>
          <a:pPr algn="l"/>
          <a:r>
            <a:rPr lang="en-US" sz="1800" b="1">
              <a:solidFill>
                <a:schemeClr val="bg1"/>
              </a:solidFill>
              <a:latin typeface="Leelawadee UI Semilight" panose="020B0402040204020203" pitchFamily="34" charset="-34"/>
              <a:cs typeface="Leelawadee UI Semilight" panose="020B0402040204020203" pitchFamily="34" charset="-34"/>
            </a:rPr>
            <a:t>Ogheghe</a:t>
          </a:r>
          <a:r>
            <a:rPr lang="en-US" sz="1800" b="1" baseline="0">
              <a:solidFill>
                <a:schemeClr val="bg1"/>
              </a:solidFill>
              <a:latin typeface="Leelawadee UI Semilight" panose="020B0402040204020203" pitchFamily="34" charset="-34"/>
              <a:cs typeface="Leelawadee UI Semilight" panose="020B0402040204020203" pitchFamily="34" charset="-34"/>
            </a:rPr>
            <a:t> Prosper</a:t>
          </a:r>
          <a:endParaRPr lang="en-US" sz="1800" b="1">
            <a:solidFill>
              <a:schemeClr val="bg1"/>
            </a:solidFill>
            <a:latin typeface="Leelawadee UI Semilight" panose="020B0402040204020203" pitchFamily="34" charset="-34"/>
            <a:cs typeface="Leelawadee UI Semilight" panose="020B0402040204020203" pitchFamily="34" charset="-34"/>
          </a:endParaRPr>
        </a:p>
      </xdr:txBody>
    </xdr:sp>
    <xdr:clientData/>
  </xdr:twoCellAnchor>
  <xdr:twoCellAnchor editAs="oneCell">
    <xdr:from>
      <xdr:col>2</xdr:col>
      <xdr:colOff>545029</xdr:colOff>
      <xdr:row>36</xdr:row>
      <xdr:rowOff>85695</xdr:rowOff>
    </xdr:from>
    <xdr:to>
      <xdr:col>6</xdr:col>
      <xdr:colOff>552574</xdr:colOff>
      <xdr:row>49</xdr:row>
      <xdr:rowOff>80210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C649A185-2BF9-CD7A-39A7-066F61FA938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74924" y="6823379"/>
              <a:ext cx="2467334" cy="2427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26737</xdr:colOff>
      <xdr:row>32</xdr:row>
      <xdr:rowOff>124513</xdr:rowOff>
    </xdr:from>
    <xdr:to>
      <xdr:col>6</xdr:col>
      <xdr:colOff>280737</xdr:colOff>
      <xdr:row>36</xdr:row>
      <xdr:rowOff>120308</xdr:rowOff>
    </xdr:to>
    <xdr:sp macro="" textlink="">
      <xdr:nvSpPr>
        <xdr:cNvPr id="5" name="Rectangle: Rounded Corners 4">
          <a:extLst>
            <a:ext uri="{FF2B5EF4-FFF2-40B4-BE49-F238E27FC236}">
              <a16:creationId xmlns:a16="http://schemas.microsoft.com/office/drawing/2014/main" id="{B785930C-061A-DAF6-6A60-3222630BDAC4}"/>
            </a:ext>
          </a:extLst>
        </xdr:cNvPr>
        <xdr:cNvSpPr/>
      </xdr:nvSpPr>
      <xdr:spPr>
        <a:xfrm>
          <a:off x="1871579" y="6113566"/>
          <a:ext cx="2098842" cy="744426"/>
        </a:xfrm>
        <a:prstGeom prst="roundRect">
          <a:avLst>
            <a:gd name="adj" fmla="val 3755"/>
          </a:avLst>
        </a:prstGeom>
        <a:solidFill>
          <a:srgbClr val="96AD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14338</xdr:colOff>
      <xdr:row>20</xdr:row>
      <xdr:rowOff>73493</xdr:rowOff>
    </xdr:from>
    <xdr:to>
      <xdr:col>6</xdr:col>
      <xdr:colOff>260144</xdr:colOff>
      <xdr:row>24</xdr:row>
      <xdr:rowOff>69289</xdr:rowOff>
    </xdr:to>
    <xdr:sp macro="" textlink="">
      <xdr:nvSpPr>
        <xdr:cNvPr id="7" name="Rectangle: Rounded Corners 6">
          <a:extLst>
            <a:ext uri="{FF2B5EF4-FFF2-40B4-BE49-F238E27FC236}">
              <a16:creationId xmlns:a16="http://schemas.microsoft.com/office/drawing/2014/main" id="{A62E2415-6537-7B7E-DF04-21863FF6F8EF}"/>
            </a:ext>
          </a:extLst>
        </xdr:cNvPr>
        <xdr:cNvSpPr/>
      </xdr:nvSpPr>
      <xdr:spPr>
        <a:xfrm rot="10800000">
          <a:off x="1847257" y="3780520"/>
          <a:ext cx="2078725" cy="737201"/>
        </a:xfrm>
        <a:prstGeom prst="roundRect">
          <a:avLst>
            <a:gd name="adj" fmla="val 3755"/>
          </a:avLst>
        </a:prstGeom>
        <a:solidFill>
          <a:srgbClr val="96AD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67449</xdr:colOff>
      <xdr:row>33</xdr:row>
      <xdr:rowOff>105790</xdr:rowOff>
    </xdr:from>
    <xdr:to>
      <xdr:col>6</xdr:col>
      <xdr:colOff>224765</xdr:colOff>
      <xdr:row>36</xdr:row>
      <xdr:rowOff>56628</xdr:rowOff>
    </xdr:to>
    <xdr:sp macro="" textlink="">
      <xdr:nvSpPr>
        <xdr:cNvPr id="9" name="TextBox 8">
          <a:extLst>
            <a:ext uri="{FF2B5EF4-FFF2-40B4-BE49-F238E27FC236}">
              <a16:creationId xmlns:a16="http://schemas.microsoft.com/office/drawing/2014/main" id="{418239F1-5466-A895-91DF-C983725076DC}"/>
            </a:ext>
          </a:extLst>
        </xdr:cNvPr>
        <xdr:cNvSpPr txBox="1"/>
      </xdr:nvSpPr>
      <xdr:spPr>
        <a:xfrm>
          <a:off x="1912291" y="6282001"/>
          <a:ext cx="2002158" cy="512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rPr>
            <a:t>Month</a:t>
          </a:r>
        </a:p>
      </xdr:txBody>
    </xdr:sp>
    <xdr:clientData/>
  </xdr:twoCellAnchor>
  <xdr:twoCellAnchor>
    <xdr:from>
      <xdr:col>3</xdr:col>
      <xdr:colOff>14338</xdr:colOff>
      <xdr:row>16</xdr:row>
      <xdr:rowOff>24330</xdr:rowOff>
    </xdr:from>
    <xdr:to>
      <xdr:col>6</xdr:col>
      <xdr:colOff>260144</xdr:colOff>
      <xdr:row>20</xdr:row>
      <xdr:rowOff>20127</xdr:rowOff>
    </xdr:to>
    <xdr:sp macro="" textlink="">
      <xdr:nvSpPr>
        <xdr:cNvPr id="12" name="Rectangle: Rounded Corners 11">
          <a:extLst>
            <a:ext uri="{FF2B5EF4-FFF2-40B4-BE49-F238E27FC236}">
              <a16:creationId xmlns:a16="http://schemas.microsoft.com/office/drawing/2014/main" id="{BE097D1F-4E9E-9FB4-FF7B-4DB50110E57F}"/>
            </a:ext>
          </a:extLst>
        </xdr:cNvPr>
        <xdr:cNvSpPr/>
      </xdr:nvSpPr>
      <xdr:spPr>
        <a:xfrm rot="10800000">
          <a:off x="1847257" y="2989952"/>
          <a:ext cx="2078725" cy="737202"/>
        </a:xfrm>
        <a:prstGeom prst="roundRect">
          <a:avLst>
            <a:gd name="adj" fmla="val 3755"/>
          </a:avLst>
        </a:prstGeom>
        <a:solidFill>
          <a:srgbClr val="96AD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14338</xdr:colOff>
      <xdr:row>24</xdr:row>
      <xdr:rowOff>127127</xdr:rowOff>
    </xdr:from>
    <xdr:to>
      <xdr:col>6</xdr:col>
      <xdr:colOff>260144</xdr:colOff>
      <xdr:row>28</xdr:row>
      <xdr:rowOff>119467</xdr:rowOff>
    </xdr:to>
    <xdr:sp macro="" textlink="">
      <xdr:nvSpPr>
        <xdr:cNvPr id="13" name="Rectangle: Rounded Corners 12">
          <a:extLst>
            <a:ext uri="{FF2B5EF4-FFF2-40B4-BE49-F238E27FC236}">
              <a16:creationId xmlns:a16="http://schemas.microsoft.com/office/drawing/2014/main" id="{16634C11-5ADB-BAA2-9B41-0E7DABCB173D}"/>
            </a:ext>
          </a:extLst>
        </xdr:cNvPr>
        <xdr:cNvSpPr/>
      </xdr:nvSpPr>
      <xdr:spPr>
        <a:xfrm rot="10800000">
          <a:off x="1847257" y="4575559"/>
          <a:ext cx="2078725" cy="733746"/>
        </a:xfrm>
        <a:prstGeom prst="roundRect">
          <a:avLst>
            <a:gd name="adj" fmla="val 3755"/>
          </a:avLst>
        </a:prstGeom>
        <a:solidFill>
          <a:srgbClr val="96AD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15788</xdr:colOff>
      <xdr:row>17</xdr:row>
      <xdr:rowOff>20594</xdr:rowOff>
    </xdr:from>
    <xdr:to>
      <xdr:col>6</xdr:col>
      <xdr:colOff>194275</xdr:colOff>
      <xdr:row>20</xdr:row>
      <xdr:rowOff>89243</xdr:rowOff>
    </xdr:to>
    <xdr:sp macro="" textlink="">
      <xdr:nvSpPr>
        <xdr:cNvPr id="16" name="TextBox 15">
          <a:extLst>
            <a:ext uri="{FF2B5EF4-FFF2-40B4-BE49-F238E27FC236}">
              <a16:creationId xmlns:a16="http://schemas.microsoft.com/office/drawing/2014/main" id="{942F1883-CC2D-DFC5-8FBA-90AA166DF48A}"/>
            </a:ext>
          </a:extLst>
        </xdr:cNvPr>
        <xdr:cNvSpPr txBox="1"/>
      </xdr:nvSpPr>
      <xdr:spPr>
        <a:xfrm>
          <a:off x="1848707" y="3171567"/>
          <a:ext cx="2011406" cy="62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DASHBOARD</a:t>
          </a:r>
        </a:p>
      </xdr:txBody>
    </xdr:sp>
    <xdr:clientData/>
  </xdr:twoCellAnchor>
  <xdr:twoCellAnchor>
    <xdr:from>
      <xdr:col>3</xdr:col>
      <xdr:colOff>15788</xdr:colOff>
      <xdr:row>21</xdr:row>
      <xdr:rowOff>63157</xdr:rowOff>
    </xdr:from>
    <xdr:to>
      <xdr:col>6</xdr:col>
      <xdr:colOff>194275</xdr:colOff>
      <xdr:row>24</xdr:row>
      <xdr:rowOff>131806</xdr:rowOff>
    </xdr:to>
    <xdr:sp macro="" textlink="">
      <xdr:nvSpPr>
        <xdr:cNvPr id="17" name="TextBox 16">
          <a:extLst>
            <a:ext uri="{FF2B5EF4-FFF2-40B4-BE49-F238E27FC236}">
              <a16:creationId xmlns:a16="http://schemas.microsoft.com/office/drawing/2014/main" id="{D26B285E-91BB-0230-94BF-2320741228A1}"/>
            </a:ext>
          </a:extLst>
        </xdr:cNvPr>
        <xdr:cNvSpPr txBox="1"/>
      </xdr:nvSpPr>
      <xdr:spPr>
        <a:xfrm>
          <a:off x="1848707" y="3955535"/>
          <a:ext cx="2011406" cy="62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ANALYSIS</a:t>
          </a:r>
        </a:p>
      </xdr:txBody>
    </xdr:sp>
    <xdr:clientData/>
  </xdr:twoCellAnchor>
  <xdr:twoCellAnchor>
    <xdr:from>
      <xdr:col>3</xdr:col>
      <xdr:colOff>15788</xdr:colOff>
      <xdr:row>25</xdr:row>
      <xdr:rowOff>71394</xdr:rowOff>
    </xdr:from>
    <xdr:to>
      <xdr:col>6</xdr:col>
      <xdr:colOff>194275</xdr:colOff>
      <xdr:row>28</xdr:row>
      <xdr:rowOff>140043</xdr:rowOff>
    </xdr:to>
    <xdr:sp macro="" textlink="">
      <xdr:nvSpPr>
        <xdr:cNvPr id="18" name="TextBox 17">
          <a:extLst>
            <a:ext uri="{FF2B5EF4-FFF2-40B4-BE49-F238E27FC236}">
              <a16:creationId xmlns:a16="http://schemas.microsoft.com/office/drawing/2014/main" id="{65DE1072-75C5-0163-BAAF-A956487DD233}"/>
            </a:ext>
          </a:extLst>
        </xdr:cNvPr>
        <xdr:cNvSpPr txBox="1"/>
      </xdr:nvSpPr>
      <xdr:spPr>
        <a:xfrm>
          <a:off x="1848707" y="4705178"/>
          <a:ext cx="2011406" cy="62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DATASET</a:t>
          </a:r>
        </a:p>
      </xdr:txBody>
    </xdr:sp>
    <xdr:clientData/>
  </xdr:twoCellAnchor>
  <xdr:twoCellAnchor>
    <xdr:from>
      <xdr:col>3</xdr:col>
      <xdr:colOff>13730</xdr:colOff>
      <xdr:row>16</xdr:row>
      <xdr:rowOff>27459</xdr:rowOff>
    </xdr:from>
    <xdr:to>
      <xdr:col>6</xdr:col>
      <xdr:colOff>267730</xdr:colOff>
      <xdr:row>20</xdr:row>
      <xdr:rowOff>27459</xdr:rowOff>
    </xdr:to>
    <xdr:sp macro="" textlink="">
      <xdr:nvSpPr>
        <xdr:cNvPr id="21" name="TextBox 20">
          <a:hlinkClick xmlns:r="http://schemas.openxmlformats.org/officeDocument/2006/relationships" r:id="rId15"/>
          <a:extLst>
            <a:ext uri="{FF2B5EF4-FFF2-40B4-BE49-F238E27FC236}">
              <a16:creationId xmlns:a16="http://schemas.microsoft.com/office/drawing/2014/main" id="{2E1DFB04-842A-D95D-765E-BC23F92347D4}"/>
            </a:ext>
          </a:extLst>
        </xdr:cNvPr>
        <xdr:cNvSpPr txBox="1"/>
      </xdr:nvSpPr>
      <xdr:spPr>
        <a:xfrm>
          <a:off x="1846649" y="2993081"/>
          <a:ext cx="2086919" cy="741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20595</xdr:colOff>
      <xdr:row>20</xdr:row>
      <xdr:rowOff>75514</xdr:rowOff>
    </xdr:from>
    <xdr:to>
      <xdr:col>6</xdr:col>
      <xdr:colOff>260865</xdr:colOff>
      <xdr:row>24</xdr:row>
      <xdr:rowOff>68649</xdr:rowOff>
    </xdr:to>
    <xdr:sp macro="" textlink="">
      <xdr:nvSpPr>
        <xdr:cNvPr id="22" name="TextBox 21">
          <a:hlinkClick xmlns:r="http://schemas.openxmlformats.org/officeDocument/2006/relationships" r:id="rId16"/>
          <a:extLst>
            <a:ext uri="{FF2B5EF4-FFF2-40B4-BE49-F238E27FC236}">
              <a16:creationId xmlns:a16="http://schemas.microsoft.com/office/drawing/2014/main" id="{D2B85A77-0CFA-26EF-94E9-99C4C4916D3C}"/>
            </a:ext>
          </a:extLst>
        </xdr:cNvPr>
        <xdr:cNvSpPr txBox="1"/>
      </xdr:nvSpPr>
      <xdr:spPr>
        <a:xfrm>
          <a:off x="1853514" y="3782541"/>
          <a:ext cx="2073189" cy="734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27459</xdr:colOff>
      <xdr:row>24</xdr:row>
      <xdr:rowOff>137298</xdr:rowOff>
    </xdr:from>
    <xdr:to>
      <xdr:col>6</xdr:col>
      <xdr:colOff>247135</xdr:colOff>
      <xdr:row>28</xdr:row>
      <xdr:rowOff>109838</xdr:rowOff>
    </xdr:to>
    <xdr:sp macro="" textlink="">
      <xdr:nvSpPr>
        <xdr:cNvPr id="23" name="TextBox 22">
          <a:hlinkClick xmlns:r="http://schemas.openxmlformats.org/officeDocument/2006/relationships" r:id="rId17"/>
          <a:extLst>
            <a:ext uri="{FF2B5EF4-FFF2-40B4-BE49-F238E27FC236}">
              <a16:creationId xmlns:a16="http://schemas.microsoft.com/office/drawing/2014/main" id="{49C0EB73-E30B-616E-DCBE-283D4DC1DEF2}"/>
            </a:ext>
          </a:extLst>
        </xdr:cNvPr>
        <xdr:cNvSpPr txBox="1"/>
      </xdr:nvSpPr>
      <xdr:spPr>
        <a:xfrm>
          <a:off x="1860378" y="4585730"/>
          <a:ext cx="2052595" cy="71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320040</xdr:colOff>
      <xdr:row>20</xdr:row>
      <xdr:rowOff>1</xdr:rowOff>
    </xdr:from>
    <xdr:to>
      <xdr:col>9</xdr:col>
      <xdr:colOff>15240</xdr:colOff>
      <xdr:row>27</xdr:row>
      <xdr:rowOff>160020</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36B6C86E-6658-5C66-3A88-DFDC5DCC3BD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307580" y="3657601"/>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449580</xdr:colOff>
      <xdr:row>29</xdr:row>
      <xdr:rowOff>91440</xdr:rowOff>
    </xdr:from>
    <xdr:to>
      <xdr:col>9</xdr:col>
      <xdr:colOff>144780</xdr:colOff>
      <xdr:row>38</xdr:row>
      <xdr:rowOff>167640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7B0F56E6-8AE2-B1E5-7E76-8A78EBA3A5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51520" y="5394960"/>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1145833" backgroundQuery="1" createdVersion="8" refreshedVersion="8" minRefreshableVersion="3" recordCount="0" supportSubquery="1" supportAdvancedDrill="1" xr:uid="{BB568C15-0BFE-444E-84D7-BB8C5BE85FE7}">
  <cacheSource type="external" connectionId="2"/>
  <cacheFields count="6">
    <cacheField name="[Table1].[Region].[Region]" caption="Region" numFmtId="0" hierarchy="12" level="1">
      <sharedItems count="4">
        <s v="East"/>
        <s v="North"/>
        <s v="South"/>
        <s v="West"/>
      </sharedItems>
    </cacheField>
    <cacheField name="[Measures].[Total Revenue]" caption="Total Revenue" numFmtId="0" hierarchy="3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1"/>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13310185" backgroundQuery="1" createdVersion="8" refreshedVersion="8" minRefreshableVersion="3" recordCount="0" supportSubquery="1" supportAdvancedDrill="1" xr:uid="{867F98D3-9DE9-42BF-A5A8-56EE771D1E85}">
  <cacheSource type="external" connectionId="2"/>
  <cacheFields count="7">
    <cacheField name="[Calendar].[Month].[Month]" caption="Month" numFmtId="0" hierarchy="4" level="1">
      <sharedItems count="12">
        <s v="January"/>
        <s v="February"/>
        <s v="March"/>
        <s v="April"/>
        <s v="May"/>
        <s v="June"/>
        <s v="July"/>
        <s v="August"/>
        <s v="September"/>
        <s v="October"/>
        <s v="November"/>
        <s v="December"/>
      </sharedItems>
    </cacheField>
    <cacheField name="[Measures].[Total Revenue]" caption="Total Revenue" numFmtId="0" hierarchy="36"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6"/>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1"/>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14699071" backgroundQuery="1" createdVersion="8" refreshedVersion="8" minRefreshableVersion="3" recordCount="0" supportSubquery="1" supportAdvancedDrill="1" xr:uid="{A2B3EB13-874B-440E-A8A7-054F8B0050D4}">
  <cacheSource type="external" connectionId="2"/>
  <cacheFields count="7">
    <cacheField name="[Table1].[Channel].[Channel]" caption="Channel" numFmtId="0" hierarchy="15" level="1">
      <sharedItems count="4">
        <s v="Distributor"/>
        <s v="In-Store"/>
        <s v="Online"/>
        <s v="N/A" u="1"/>
      </sharedItems>
    </cacheField>
    <cacheField name="[Measures].[Total Revenue]" caption="Total Revenue" numFmtId="0" hierarchy="36"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6"/>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1"/>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16087964" backgroundQuery="1" createdVersion="8" refreshedVersion="8" minRefreshableVersion="3" recordCount="0" supportSubquery="1" supportAdvancedDrill="1" xr:uid="{DC5D4C56-FAB7-40CF-B818-64E5BB52A9E4}">
  <cacheSource type="external" connectionId="2"/>
  <cacheFields count="7">
    <cacheField name="[Table1].[Sales Rep].[Sales Rep]" caption="Sales Rep" numFmtId="0" hierarchy="11" level="1">
      <sharedItems count="5">
        <s v="Amaka Bello"/>
        <s v="Emeka Nwosu"/>
        <s v="Fatima Aliyu"/>
        <s v="Ngozi Adeyemi"/>
        <s v="Yemi Osinbajo"/>
      </sharedItems>
    </cacheField>
    <cacheField name="[Measures].[Total Revenue]" caption="Total Revenue" numFmtId="0" hierarchy="36"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6"/>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1"/>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17708334" backgroundQuery="1" createdVersion="8" refreshedVersion="8" minRefreshableVersion="3" recordCount="0" supportSubquery="1" supportAdvancedDrill="1" xr:uid="{9192C66A-4D2F-4056-BFD5-E95A9317C404}">
  <cacheSource type="external" connectionId="2"/>
  <cacheFields count="6">
    <cacheField name="[Measures].[Total Revenue]" caption="Total Revenue" numFmtId="0" hierarchy="36"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0"/>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18981481" backgroundQuery="1" createdVersion="8" refreshedVersion="8" minRefreshableVersion="3" recordCount="0" supportSubquery="1" supportAdvancedDrill="1" xr:uid="{473B0873-8168-4FF0-ABC2-6DF9D8069E2C}">
  <cacheSource type="external" connectionId="2"/>
  <cacheFields count="6">
    <cacheField name="[Measures].[Total Orders]" caption="Total Orders" numFmtId="0" hierarchy="35"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oneField="1">
      <fieldsUsage count="1">
        <fieldUsage x="0"/>
      </fieldsUsage>
    </cacheHierarchy>
    <cacheHierarchy uniqueName="[Measures].[Total Revenue]" caption="Total Revenue" measure="1" displayFolder="" measureGroup="Table1" count="0"/>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20486113" backgroundQuery="1" createdVersion="8" refreshedVersion="8" minRefreshableVersion="3" recordCount="0" supportSubquery="1" supportAdvancedDrill="1" xr:uid="{856C1F86-D9DC-4DAC-A15D-19896FA0CCDA}">
  <cacheSource type="external" connectionId="2"/>
  <cacheFields count="6">
    <cacheField name="[Measures].[AOV]" caption="AOV" numFmtId="0" hierarchy="33"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oneField="1">
      <fieldsUsage count="1">
        <fieldUsage x="0"/>
      </fieldsUsage>
    </cacheHierarchy>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21874998" backgroundQuery="1" createdVersion="8" refreshedVersion="8" minRefreshableVersion="3" recordCount="0" supportSubquery="1" supportAdvancedDrill="1" xr:uid="{AD21FF1D-03AE-44D7-986E-9823E6812664}">
  <cacheSource type="external" connectionId="2"/>
  <cacheFields count="7">
    <cacheField name="[Table1].[Sales Rep].[Sales Rep]" caption="Sales Rep" numFmtId="0" hierarchy="11" level="1">
      <sharedItems count="5">
        <s v="Amaka Bello"/>
        <s v="Emeka Nwosu"/>
        <s v="Fatima Aliyu"/>
        <s v="Ngozi Adeyemi"/>
        <s v="Yemi Osinbajo"/>
      </sharedItems>
    </cacheField>
    <cacheField name="[Table1].[Status].[Status]" caption="Status" numFmtId="0" hierarchy="23" level="1">
      <sharedItems count="4">
        <s v="Cancelled"/>
        <s v="Completed"/>
        <s v="Pending"/>
        <s v="Returned"/>
      </sharedItems>
    </cacheField>
    <cacheField name="[Measures].[Total Orders]" caption="Total Orders" numFmtId="0" hierarchy="35"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oneField="1">
      <fieldsUsage count="1">
        <fieldUsage x="2"/>
      </fieldsUsage>
    </cacheHierarchy>
    <cacheHierarchy uniqueName="[Measures].[Total Revenue]" caption="Total Revenue" measure="1" displayFolder="" measureGroup="Table1" count="0"/>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23842592" backgroundQuery="1" createdVersion="8" refreshedVersion="8" minRefreshableVersion="3" recordCount="0" supportSubquery="1" supportAdvancedDrill="1" xr:uid="{3FA1551C-A69C-4393-B4D8-4E09FC71BC15}">
  <cacheSource type="external" connectionId="2"/>
  <cacheFields count="8">
    <cacheField name="[Table1].[Sales Rep].[Sales Rep]" caption="Sales Rep" numFmtId="0" hierarchy="11" level="1">
      <sharedItems count="5">
        <s v="Amaka Bello"/>
        <s v="Emeka Nwosu"/>
        <s v="Fatima Aliyu"/>
        <s v="Ngozi Adeyemi"/>
        <s v="Yemi Osinbajo"/>
      </sharedItems>
    </cacheField>
    <cacheField name="[Measures].[Total Revenue]" caption="Total Revenue" numFmtId="0" hierarchy="36" level="32767"/>
    <cacheField name="[Table1].[Category].[Category]" caption="Category" numFmtId="0" hierarchy="14" level="1">
      <sharedItems count="2">
        <s v="Accessories"/>
        <s v="Electronics"/>
      </sharedItems>
    </cacheField>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7"/>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1"/>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25231485" backgroundQuery="1" createdVersion="8" refreshedVersion="8" minRefreshableVersion="3" recordCount="0" supportSubquery="1" supportAdvancedDrill="1" xr:uid="{9C4AB2FE-CE80-4AC0-B3AA-6DCF3985BBC8}">
  <cacheSource type="external" connectionId="2"/>
  <cacheFields count="6">
    <cacheField name="[Measures].[Qty Sold]" caption="Qty Sold" numFmtId="0" hierarchy="37"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cacheHierarchy uniqueName="[Measures].[Qty Sold]" caption="Qty Sold" measure="1" displayFolder="" measureGroup="Table1" count="0" oneField="1">
      <fieldsUsage count="1">
        <fieldUsage x="0"/>
      </fieldsUsage>
    </cacheHierarchy>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26736109" backgroundQuery="1" createdVersion="8" refreshedVersion="8" minRefreshableVersion="3" recordCount="0" supportSubquery="1" supportAdvancedDrill="1" xr:uid="{6CC3E1A8-81FE-459E-9636-A47A10149CD1}">
  <cacheSource type="external" connectionId="2"/>
  <cacheFields count="6">
    <cacheField name="[Measures].[Total Discount]" caption="Total Discount" numFmtId="0" hierarchy="38"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cacheHierarchy uniqueName="[Measures].[Qty Sold]" caption="Qty Sold" measure="1" displayFolder="" measureGroup="Table1" count="0"/>
    <cacheHierarchy uniqueName="[Measures].[Total Discount]" caption="Total Discoun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28125002" backgroundQuery="1" createdVersion="8" refreshedVersion="8" minRefreshableVersion="3" recordCount="0" supportSubquery="1" supportAdvancedDrill="1" xr:uid="{97E794B9-E8A7-4912-BC4D-977F71487FCB}">
  <cacheSource type="external" connectionId="2"/>
  <cacheFields count="7">
    <cacheField name="[Measures].[Return Rate]" caption="Return Rate" numFmtId="0" hierarchy="34" level="32767"/>
    <cacheField name="[Table1].[Product].[Product]" caption="Product" numFmtId="0" hierarchy="13" level="1">
      <sharedItems count="8">
        <s v="Keyboard Mech"/>
        <s v="Laptop Pro"/>
        <s v="Monitor 4K"/>
        <s v="Mouse Ergo"/>
        <s v="SmartPhone X"/>
        <s v="Tablet Air"/>
        <s v="Webcam HD"/>
        <s v="Wireless Earbuds"/>
      </sharedItems>
    </cacheField>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6"/>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oneField="1">
      <fieldsUsage count="1">
        <fieldUsage x="0"/>
      </fieldsUsage>
    </cacheHierarchy>
    <cacheHierarchy uniqueName="[Measures].[Total Orders]" caption="Total Orders" measure="1" displayFolder="" measureGroup="Table1" count="0"/>
    <cacheHierarchy uniqueName="[Measures].[Total Revenue]" caption="Total Revenue" measure="1" displayFolder="" measureGroup="Table1" count="0"/>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29629627" backgroundQuery="1" createdVersion="8" refreshedVersion="8" minRefreshableVersion="3" recordCount="0" supportSubquery="1" supportAdvancedDrill="1" xr:uid="{FE0DE2A5-3C50-433B-98EB-BBB70DB2B90A}">
  <cacheSource type="external" connectionId="2"/>
  <cacheFields count="6">
    <cacheField name="[Measures].[Return Rate]" caption="Return Rate" numFmtId="0" hierarchy="34"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tatus].[Status]" caption="Status" numFmtId="0" hierarchy="23" level="1">
      <sharedItems containsSemiMixedTypes="0" containsNonDate="0" containsString="0"/>
    </cacheField>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5"/>
      </fieldsUsage>
    </cacheHierarchy>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oneField="1">
      <fieldsUsage count="1">
        <fieldUsage x="0"/>
      </fieldsUsage>
    </cacheHierarchy>
    <cacheHierarchy uniqueName="[Measures].[Total Orders]" caption="Total Orders" measure="1" displayFolder="" measureGroup="Table1" count="0"/>
    <cacheHierarchy uniqueName="[Measures].[Total Revenue]" caption="Total Revenue" measure="1" displayFolder="" measureGroup="Table1" count="0"/>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13348263886" backgroundQuery="1" createdVersion="8" refreshedVersion="8" minRefreshableVersion="3" recordCount="0" supportSubquery="1" supportAdvancedDrill="1" xr:uid="{2F0A6AB9-1D42-4F24-983E-1093F25B4F80}">
  <cacheSource type="external" connectionId="2"/>
  <cacheFields count="6">
    <cacheField name="[Table1].[Sales Rep].[Sales Rep]" caption="Sales Rep" numFmtId="0" hierarchy="11" level="1">
      <sharedItems count="11">
        <s v="Amaka Bello"/>
        <s v="Chukwudi Eze"/>
        <s v="Emeka Nwosu"/>
        <s v="Fatima Aliyu"/>
        <s v="Ibrahim Musa"/>
        <s v="James Okafor"/>
        <s v="Kemi Adebayo"/>
        <s v="N/A"/>
        <s v="Ngozi Adeyemi"/>
        <s v="Tunde Fashola"/>
        <s v="Yemi Osinbajo"/>
      </sharedItems>
    </cacheField>
    <cacheField name="[Table1].[Region].[Region]" caption="Region" numFmtId="0" hierarchy="12" level="1">
      <sharedItems count="4">
        <s v="East"/>
        <s v="North"/>
        <s v="South"/>
        <s v="West"/>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Revenue]" caption="Total Revenue" numFmtId="0" hierarchy="36" level="32767"/>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5"/>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14191319447" backgroundQuery="1" createdVersion="8" refreshedVersion="8" minRefreshableVersion="3" recordCount="0" supportSubquery="1" supportAdvancedDrill="1" xr:uid="{786D0C99-64F4-4105-A544-0BAC88B54DA9}">
  <cacheSource type="external" connectionId="2"/>
  <cacheFields count="8">
    <cacheField name="[Table1].[Product].[Product]" caption="Product" numFmtId="0" hierarchy="13" level="1">
      <sharedItems count="8">
        <s v="Keyboard Mech"/>
        <s v="Laptop Pro"/>
        <s v="Monitor 4K"/>
        <s v="Mouse Ergo"/>
        <s v="SmartPhone X"/>
        <s v="Tablet Air"/>
        <s v="Webcam HD"/>
        <s v="Wireless Earbuds"/>
      </sharedItems>
    </cacheField>
    <cacheField name="[Measures].[Count of Order ID]" caption="Count of Order ID" numFmtId="0" hierarchy="28" level="32767"/>
    <cacheField name="[Measures].[Sum of Unit Price Clean]" caption="Sum of Unit Price Clean" numFmtId="0" hierarchy="31" level="32767"/>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Qty Sold]" caption="Qty Sold" numFmtId="0" hierarchy="37" level="32767"/>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oneField="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oneField="1">
      <fieldsUsage count="1">
        <fieldUsage x="2"/>
      </fieldsUsage>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cacheHierarchy uniqueName="[Measures].[Qty Sold]" caption="Qty Sold" measure="1" displayFolder="" measureGroup="Table1" count="0" oneField="1">
      <fieldsUsage count="1">
        <fieldUsage x="7"/>
      </fieldsUsage>
    </cacheHierarchy>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14541550927" backgroundQuery="1" createdVersion="8" refreshedVersion="8" minRefreshableVersion="3" recordCount="0" supportSubquery="1" supportAdvancedDrill="1" xr:uid="{B0793735-785E-4A5F-BCE6-EB364437359D}">
  <cacheSource type="external" connectionId="2"/>
  <cacheFields count="7">
    <cacheField name="[Calendar].[Month].[Month]" caption="Month" numFmtId="0" hierarchy="4" level="1">
      <sharedItems count="12">
        <s v="January"/>
        <s v="February"/>
        <s v="March"/>
        <s v="April"/>
        <s v="May"/>
        <s v="June"/>
        <s v="July"/>
        <s v="August"/>
        <s v="September"/>
        <s v="October"/>
        <s v="November"/>
        <s v="December"/>
      </sharedItems>
    </cacheField>
    <cacheField name="[Table1].[Channel].[Channel]" caption="Channel" numFmtId="0" hierarchy="15" level="1">
      <sharedItems count="4">
        <s v="Distributor"/>
        <s v="In-Store"/>
        <s v="N/A"/>
        <s v="Online"/>
      </sharedItems>
    </cacheField>
    <cacheField name="[Table1].[Region].[Region]" caption="Region" numFmtId="0" hierarchy="1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Revenue]" caption="Total Revenue" numFmtId="0" hierarchy="36" level="32767"/>
  </cacheFields>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oneField="1">
      <fieldsUsage count="1">
        <fieldUsage x="6"/>
      </fieldsUsage>
    </cacheHierarchy>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92.407003703702" backgroundQuery="1" createdVersion="3" refreshedVersion="8" minRefreshableVersion="3" recordCount="0" supportSubquery="1" supportAdvancedDrill="1" xr:uid="{CEBD8568-750F-4109-93EE-CC4E8569B2BE}">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 caption="Unit Price (₦)" attribute="1" defaultMemberUniqueName="[Table1].[Unit Price (₦)].[All]" allUniqueName="[Table1].[Unit Price (₦)].[All]" dimensionUniqueName="[Table1]" displayFolder="" count="0" memberValueDatatype="20" unbalanced="0"/>
    <cacheHierarchy uniqueName="[Table1].[Unit Price Clean]" caption="Unit Price Clean" attribute="1" defaultMemberUniqueName="[Table1].[Unit Price Clean].[All]" allUniqueName="[Table1].[Unit Price Clean].[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Net Revenue]" caption="Net Revenue" attribute="1" defaultMemberUniqueName="[Table1].[Net Revenue].[All]" allUniqueName="[Table1].[Net Revenue].[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Product_Clean]" caption="Product_Clean" attribute="1" defaultMemberUniqueName="[Table1].[Product_Clean].[All]" allUniqueName="[Table1].[Product_Clean].[All]" dimensionUniqueName="[Table1]" displayFolder="" count="0" memberValueDatatype="130" unbalanced="0"/>
    <cacheHierarchy uniqueName="[Table1].[Category_Clean]" caption="Category_Clean" attribute="1" defaultMemberUniqueName="[Table1].[Category_Clean].[All]" allUniqueName="[Table1].[Category_Clean].[All]" dimensionUniqueName="[Table1]" displayFolder="" count="0" memberValueDatatype="130" unbalanced="0"/>
    <cacheHierarchy uniqueName="[Table1].[Channel_Clean]" caption="Channel_Clean" attribute="1" defaultMemberUniqueName="[Table1].[Channel_Clean].[All]" allUniqueName="[Table1].[Channel_Clean].[All]" dimensionUniqueName="[Table1]" displayFolder="" count="0" memberValueDatatype="130" unbalanced="0"/>
    <cacheHierarchy uniqueName="[Measures].[Sum of Revenue]" caption="Sum of Revenue" measure="1" displayFolder="" measureGroup="Table1"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16"/>
        </ext>
      </extLst>
    </cacheHierarchy>
    <cacheHierarchy uniqueName="[Measures].[Sum of Unit Price (₦)]" caption="Sum of Unit Price (₦)" measure="1" displayFolder="" measureGroup="Table1" count="0">
      <extLst>
        <ext xmlns:x15="http://schemas.microsoft.com/office/spreadsheetml/2010/11/main" uri="{B97F6D7D-B522-45F9-BDA1-12C45D357490}">
          <x15:cacheHierarchy aggregatedColumn="17"/>
        </ext>
      </extLst>
    </cacheHierarchy>
    <cacheHierarchy uniqueName="[Measures].[Sum of Unit Price Clean]" caption="Sum of Unit Price Clean" measure="1" displayFolder="" measureGroup="Table1" count="0">
      <extLst>
        <ext xmlns:x15="http://schemas.microsoft.com/office/spreadsheetml/2010/11/main" uri="{B97F6D7D-B522-45F9-BDA1-12C45D357490}">
          <x15:cacheHierarchy aggregatedColumn="18"/>
        </ext>
      </extLst>
    </cacheHierarchy>
    <cacheHierarchy uniqueName="[Measures].[Sum of Net Revenue]" caption="Sum of Net Revenue" measure="1" displayFolder="" measureGroup="Table1" count="0">
      <extLst>
        <ext xmlns:x15="http://schemas.microsoft.com/office/spreadsheetml/2010/11/main" uri="{B97F6D7D-B522-45F9-BDA1-12C45D357490}">
          <x15:cacheHierarchy aggregatedColumn="22"/>
        </ext>
      </extLst>
    </cacheHierarchy>
    <cacheHierarchy uniqueName="[Measures].[AOV]" caption="AOV" measure="1" displayFolder="" measureGroup="Table1" count="0"/>
    <cacheHierarchy uniqueName="[Measures].[Return Rate]" caption="Return Rate" measure="1" displayFolder="" measureGroup="Table1" count="0"/>
    <cacheHierarchy uniqueName="[Measures].[Total Orders]" caption="Total Orders" measure="1" displayFolder="" measureGroup="Table1" count="0"/>
    <cacheHierarchy uniqueName="[Measures].[Total Revenue]" caption="Total Revenue" measure="1" displayFolder="" measureGroup="Table1" count="0"/>
    <cacheHierarchy uniqueName="[Measures].[Qty Sold]" caption="Qty Sold" measure="1" displayFolder="" measureGroup="Table1" count="0"/>
    <cacheHierarchy uniqueName="[Measures].[Total Discount]" caption="Total Discount"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815911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7DE489-BF22-4D1B-AC67-26D58AB54FC5}" name="PivotTable23" cacheId="217" applyNumberFormats="0" applyBorderFormats="0" applyFontFormats="0" applyPatternFormats="0" applyAlignmentFormats="0" applyWidthHeightFormats="1" dataCaption="Values" tag="18db1124-74ab-4280-9988-9edb1c1f33bb" updatedVersion="8" minRefreshableVersion="3" useAutoFormatting="1" subtotalHiddenItems="1" itemPrintTitles="1" createdVersion="8" indent="0" outline="1" outlineData="1" multipleFieldFilters="0">
  <location ref="O4:O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61">
      <pivotArea outline="0" collapsedLevelsAreSubtotals="1" fieldPosition="0"/>
    </format>
    <format dxfId="62">
      <pivotArea outline="0" collapsedLevelsAreSubtotals="1" fieldPosition="0"/>
    </format>
    <format dxfId="63">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30E141-8290-4707-9B91-FCB3A5ABF1D0}" name="PivotTable8" cacheId="184" applyNumberFormats="0" applyBorderFormats="0" applyFontFormats="0" applyPatternFormats="0" applyAlignmentFormats="0" applyWidthHeightFormats="1" dataCaption="Values" tag="31c84b19-42d9-4c3c-8920-2ce5646dd80c" updatedVersion="8" minRefreshableVersion="5" useAutoFormatting="1" subtotalHiddenItems="1" itemPrintTitles="1" createdVersion="8" indent="0" outline="1" outlineData="1" multipleFieldFilters="0" chartFormat="13">
  <location ref="E13:F26" firstHeaderRow="1" firstDataRow="1" firstDataCol="1"/>
  <pivotFields count="7">
    <pivotField axis="axisRow" allDrilled="1" subtotalTop="0" showAll="0" dataSourceSort="1" defaultSubtotal="0" defaultAttributeDrillState="1">
      <items count="12">
        <item n="Jan" x="0"/>
        <item n="Feb" x="1"/>
        <item n="Mar" x="2"/>
        <item n="Apr" x="3"/>
        <item x="4"/>
        <item n="Jun" x="5"/>
        <item n="Jul" x="6"/>
        <item n="Aug" x="7"/>
        <item n="Sept" x="8"/>
        <item n="Oct" x="9"/>
        <item n="Nov" x="10"/>
        <item n="Dec" x="11"/>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5">
    <format dxfId="56">
      <pivotArea outline="0" collapsedLevelsAreSubtotals="1" fieldPosition="0"/>
    </format>
    <format dxfId="57">
      <pivotArea outline="0" collapsedLevelsAreSubtotals="1" fieldPosition="0"/>
    </format>
    <format dxfId="58">
      <pivotArea dataOnly="0" labelOnly="1" outline="0" axis="axisValues" fieldPosition="0"/>
    </format>
    <format dxfId="59">
      <pivotArea outline="0" collapsedLevelsAreSubtotals="1" fieldPosition="0"/>
    </format>
    <format dxfId="60">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filters count="1">
    <filter fld="0" type="dateBetween" evalOrder="-1" id="1" name="[Calendar].[Date]">
      <autoFilter ref="A1">
        <filterColumn colId="0">
          <customFilters and="1">
            <customFilter operator="greaterThanOrEqual" val="45292"/>
            <customFilter operator="lessThanOrEqual" val="46356"/>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B0D0D-0BAE-4084-A249-2DBCAE180473}" name="PivotTable7" cacheId="181" applyNumberFormats="0" applyBorderFormats="0" applyFontFormats="0" applyPatternFormats="0" applyAlignmentFormats="0" applyWidthHeightFormats="1" dataCaption="Values" tag="11402199-d029-4bbc-b10b-7e31876dc807" updatedVersion="8" minRefreshableVersion="3" useAutoFormatting="1" subtotalHiddenItems="1" itemPrintTitles="1" createdVersion="8" indent="0" outline="1" outlineData="1" multipleFieldFilters="0" chartFormat="4">
  <location ref="E4:F9" firstHeaderRow="1" firstDataRow="1" firstDataCol="1"/>
  <pivotFields count="6">
    <pivotField axis="axisRow" allDrilled="1" subtotalTop="0" showAll="0" defaultSubtotal="0" defaultAttributeDrillState="1">
      <items count="4">
        <item s="1" x="0"/>
        <item s="1" x="1"/>
        <item s="1" x="2"/>
        <item s="1"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7"/>
  </dataFields>
  <formats count="3">
    <format dxfId="53">
      <pivotArea outline="0" collapsedLevelsAreSubtotals="1" fieldPosition="0"/>
    </format>
    <format dxfId="54">
      <pivotArea outline="0" collapsedLevelsAreSubtotals="1" fieldPosition="0"/>
    </format>
    <format dxfId="55">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42">
    <pivotHierarchy dragToData="1"/>
    <pivotHierarchy multipleItemSelectionAllowed="1">
      <members count="1" level="1">
        <member name="[Calendar].[Date Hierarchy].[Year].&amp;[2024]"/>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40725-097E-40F8-A890-FC0D165532D7}" name="PivotTable21" cacheId="199" applyNumberFormats="0" applyBorderFormats="0" applyFontFormats="0" applyPatternFormats="0" applyAlignmentFormats="0" applyWidthHeightFormats="1" dataCaption="Values" tag="94400e74-c7bb-4950-aaab-49261f268cb1" updatedVersion="8" minRefreshableVersion="3" useAutoFormatting="1" subtotalHiddenItems="1" itemPrintTitles="1" createdVersion="8" indent="0" outline="1" outlineData="1" multipleFieldFilters="0">
  <location ref="M4:M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3">
    <format dxfId="50">
      <pivotArea outline="0" collapsedLevelsAreSubtotals="1" fieldPosition="0"/>
    </format>
    <format dxfId="51">
      <pivotArea outline="0" collapsedLevelsAreSubtotals="1" fieldPosition="0"/>
    </format>
    <format dxfId="52">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BB7621-3197-44A2-B335-4C79FCD267FF}" name="PivotTable9" cacheId="187" applyNumberFormats="0" applyBorderFormats="0" applyFontFormats="0" applyPatternFormats="0" applyAlignmentFormats="0" applyWidthHeightFormats="1" dataCaption="Values" tag="03c262f8-10eb-4df0-8420-6a394f6833f9" updatedVersion="8" minRefreshableVersion="3" useAutoFormatting="1" subtotalHiddenItems="1" rowGrandTotals="0" colGrandTotals="0" itemPrintTitles="1" createdVersion="8" indent="0" outline="1" outlineData="1" multipleFieldFilters="0" chartFormat="4">
  <location ref="E29:F32" firstHeaderRow="1" firstDataRow="1" firstDataCol="1"/>
  <pivotFields count="7">
    <pivotField axis="axisRow" allDrilled="1" subtotalTop="0" showAll="0" defaultSubtotal="0" defaultAttributeDrillState="1">
      <items count="4">
        <item s="1" x="0"/>
        <item s="1" x="1"/>
        <item s="1" x="2"/>
        <item x="3"/>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numFmtId="167"/>
  </dataFields>
  <formats count="3">
    <format dxfId="47">
      <pivotArea outline="0" collapsedLevelsAreSubtotals="1" fieldPosition="0"/>
    </format>
    <format dxfId="48">
      <pivotArea outline="0" collapsedLevelsAreSubtotals="1" fieldPosition="0"/>
    </format>
    <format dxfId="49">
      <pivotArea dataOnly="0" labelOnly="1" outline="0" axis="axisValues" fieldPosition="0"/>
    </format>
  </format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5A2B29-763B-4D4E-848F-828C0961A03B}" name="PivotTable17" cacheId="193" applyNumberFormats="0" applyBorderFormats="0" applyFontFormats="0" applyPatternFormats="0" applyAlignmentFormats="0" applyWidthHeightFormats="1" dataCaption="Values" tag="d98590a5-9381-4f39-b975-76ce10df3f92" updatedVersion="8" minRefreshableVersion="3" useAutoFormatting="1" subtotalHiddenItems="1" itemPrintTitles="1" createdVersion="8" indent="0" outline="1" outlineData="1" multipleFieldFilters="0">
  <location ref="I4:I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3">
    <format dxfId="44">
      <pivotArea outline="0" collapsedLevelsAreSubtotals="1" fieldPosition="0"/>
    </format>
    <format dxfId="45">
      <pivotArea outline="0" collapsedLevelsAreSubtotals="1" fieldPosition="0"/>
    </format>
    <format dxfId="46">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1ED387-46B1-418B-B479-5F8AE0CA98FE}" name="PivotTable19" cacheId="196" applyNumberFormats="0" applyBorderFormats="0" applyFontFormats="0" applyPatternFormats="0" applyAlignmentFormats="0" applyWidthHeightFormats="1" dataCaption="Values" tag="90bfec17-2a28-45dc-bddc-87e6e5dd3a52" updatedVersion="8" minRefreshableVersion="3" useAutoFormatting="1" subtotalHiddenItems="1" itemPrintTitles="1" createdVersion="8" indent="0" outline="1" outlineData="1" multipleFieldFilters="0">
  <location ref="K4:K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3">
    <format dxfId="41">
      <pivotArea outline="0" collapsedLevelsAreSubtotals="1" fieldPosition="0"/>
    </format>
    <format dxfId="42">
      <pivotArea outline="0" collapsedLevelsAreSubtotals="1" fieldPosition="0"/>
    </format>
    <format dxfId="43">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E05687-E445-4E82-8CC5-C543707A5963}" name="PivotTable27" cacheId="205" applyNumberFormats="0" applyBorderFormats="0" applyFontFormats="0" applyPatternFormats="0" applyAlignmentFormats="0" applyWidthHeightFormats="1" dataCaption="Values" tag="90fad34b-31ef-4d12-9693-15cd2b6eb9d6" updatedVersion="8" minRefreshableVersion="3" useAutoFormatting="1" subtotalHiddenItems="1" itemPrintTitles="1" createdVersion="8" indent="0" outline="1" outlineData="1" multipleFieldFilters="0" chartFormat="4">
  <location ref="E53:F56" firstHeaderRow="1" firstDataRow="1" firstDataCol="1"/>
  <pivotFields count="8">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numFmtId="167"/>
  </dataFields>
  <formats count="3">
    <format dxfId="38">
      <pivotArea outline="0" collapsedLevelsAreSubtotals="1" fieldPosition="0"/>
    </format>
    <format dxfId="39">
      <pivotArea dataOnly="0" labelOnly="1" outline="0" axis="axisValues" fieldPosition="0"/>
    </format>
    <format dxfId="40">
      <pivotArea outline="0" collapsedLevelsAreSubtotals="1" fieldPosition="0"/>
    </format>
  </format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767B70-3464-4626-A3E3-BD03B889F0F6}" name="PivotTable11" cacheId="190" applyNumberFormats="0" applyBorderFormats="0" applyFontFormats="0" applyPatternFormats="0" applyAlignmentFormats="0" applyWidthHeightFormats="1" dataCaption="Values" tag="2f9a82e8-dc9e-490f-b425-1ec978287c51" updatedVersion="8" minRefreshableVersion="3" useAutoFormatting="1" subtotalHiddenItems="1" rowGrandTotals="0" colGrandTotals="0" itemPrintTitles="1" createdVersion="8" indent="0" outline="1" outlineData="1" multipleFieldFilters="0" chartFormat="4">
  <location ref="E37:F42" firstHeaderRow="1" firstDataRow="1" firstDataCol="1"/>
  <pivotFields count="7">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5">
    <i>
      <x v="2"/>
    </i>
    <i>
      <x/>
    </i>
    <i>
      <x v="3"/>
    </i>
    <i>
      <x v="1"/>
    </i>
    <i>
      <x v="4"/>
    </i>
  </rowItems>
  <colItems count="1">
    <i/>
  </colItems>
  <dataFields count="1">
    <dataField fld="1" subtotal="count" baseField="0" baseItem="0" numFmtId="167"/>
  </dataFields>
  <formats count="3">
    <format dxfId="35">
      <pivotArea outline="0" collapsedLevelsAreSubtotals="1" fieldPosition="0"/>
    </format>
    <format dxfId="36">
      <pivotArea outline="0" collapsedLevelsAreSubtotals="1" fieldPosition="0"/>
    </format>
    <format dxfId="37">
      <pivotArea dataOnly="0" labelOnly="1" outline="0" axis="axisValues" fieldPosition="0"/>
    </format>
  </format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C2D201-D519-42DE-BD9A-1F961D78D151}" name="PivotTable28" cacheId="208" applyNumberFormats="0" applyBorderFormats="0" applyFontFormats="0" applyPatternFormats="0" applyAlignmentFormats="0" applyWidthHeightFormats="1" dataCaption="Values" tag="ccbf3f7e-b683-442f-a472-d6ee15f29d6d" updatedVersion="8" minRefreshableVersion="3" useAutoFormatting="1" subtotalHiddenItems="1" itemPrintTitles="1" createdVersion="8" indent="0" outline="1" outlineData="1" multipleFieldFilters="0">
  <location ref="Q4:Q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
    <format dxfId="33">
      <pivotArea outline="0" collapsedLevelsAreSubtotals="1" fieldPosition="0"/>
    </format>
    <format dxfId="34">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87AD94-520C-490D-91C1-0D1C5C587AE9}" name="PivotTable30" cacheId="211" applyNumberFormats="0" applyBorderFormats="0" applyFontFormats="0" applyPatternFormats="0" applyAlignmentFormats="0" applyWidthHeightFormats="1" dataCaption="Values" tag="aed78dba-d963-4730-bac2-cadd16206745" updatedVersion="8" minRefreshableVersion="3" useAutoFormatting="1" subtotalHiddenItems="1" itemPrintTitles="1" createdVersion="8" indent="0" outline="1" outlineData="1" multipleFieldFilters="0">
  <location ref="S4:S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31">
      <pivotArea outline="0" collapsedLevelsAreSubtotals="1" fieldPosition="0"/>
    </format>
    <format dxfId="32">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0496FB-4864-4573-9B27-36BB5B7D51D7}" name="PivotTable33" cacheId="214" applyNumberFormats="0" applyBorderFormats="0" applyFontFormats="0" applyPatternFormats="0" applyAlignmentFormats="0" applyWidthHeightFormats="1" dataCaption="Values" tag="a635a557-b913-42d2-9773-9c8dea7e7ce0" updatedVersion="8" minRefreshableVersion="3" useAutoFormatting="1" subtotalHiddenItems="1" itemPrintTitles="1" createdVersion="8" indent="0" outline="1" outlineData="1" multipleFieldFilters="0" chartFormat="4">
  <location ref="E60:F69" firstHeaderRow="1" firstDataRow="1" firstDataCol="1"/>
  <pivotFields count="7">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9">
    <i>
      <x v="2"/>
    </i>
    <i>
      <x v="3"/>
    </i>
    <i>
      <x v="4"/>
    </i>
    <i>
      <x v="1"/>
    </i>
    <i>
      <x v="5"/>
    </i>
    <i>
      <x/>
    </i>
    <i>
      <x v="6"/>
    </i>
    <i>
      <x v="7"/>
    </i>
    <i t="grand">
      <x/>
    </i>
  </rowItems>
  <colItems count="1">
    <i/>
  </colItems>
  <dataFields count="1">
    <dataField fld="0" subtotal="count" baseField="0" baseItem="0" numFmtId="10"/>
  </dataFields>
  <formats count="3">
    <format dxfId="28">
      <pivotArea outline="0" collapsedLevelsAreSubtotals="1" fieldPosition="0"/>
    </format>
    <format dxfId="29">
      <pivotArea outline="0" collapsedLevelsAreSubtotals="1" fieldPosition="0"/>
    </format>
    <format dxfId="30">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D7C117-D7FB-4A1B-BA6D-E228C598420F}" name="PivotTable25" cacheId="202" applyNumberFormats="0" applyBorderFormats="0" applyFontFormats="0" applyPatternFormats="0" applyAlignmentFormats="0" applyWidthHeightFormats="1" dataCaption="Values" tag="0d12bad7-bd26-420a-98af-b3981167c6a3" updatedVersion="8" minRefreshableVersion="3" useAutoFormatting="1" subtotalHiddenItems="1" itemPrintTitles="1" createdVersion="8" indent="0" outline="1" outlineData="1" multipleFieldFilters="0" chartFormat="4">
  <location ref="E45:F50" firstHeaderRow="1" firstDataRow="1" firstDataCol="1"/>
  <pivotFields count="7">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fld="2" subtotal="count" baseField="0" baseItem="0" numFmtId="1"/>
  </dataFields>
  <formats count="3">
    <format dxfId="25">
      <pivotArea outline="0" collapsedLevelsAreSubtotals="1" fieldPosition="0"/>
    </format>
    <format dxfId="26">
      <pivotArea dataOnly="0" labelOnly="1" outline="0" axis="axisValues" fieldPosition="0"/>
    </format>
    <format dxfId="27">
      <pivotArea outline="0" collapsedLevelsAreSubtotals="1" fieldPosition="0"/>
    </format>
  </format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Bridge_Nigeria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DBFCE1-0322-4F28-9724-7354669A3DA5}" name="PivotTable5" cacheId="326" applyNumberFormats="0" applyBorderFormats="0" applyFontFormats="0" applyPatternFormats="0" applyAlignmentFormats="0" applyWidthHeightFormats="1" dataCaption="Values" tag="4162f68d-cb85-4ad3-8e30-aba7b7fec5f6" updatedVersion="8" minRefreshableVersion="3" useAutoFormatting="1" subtotalHiddenItems="1" itemPrintTitles="1" createdVersion="8" indent="0" outline="1" outlineData="1" multipleFieldFilters="0">
  <location ref="A31:F45" firstHeaderRow="1" firstDataRow="2"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efaultSubtotal="0" defaultAttributeDrillState="1">
      <items count="4">
        <item x="0"/>
        <item x="1"/>
        <item x="3"/>
        <item x="2"/>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fld="6" subtotal="count" baseField="0" baseItem="0"/>
  </dataFields>
  <formats count="2">
    <format dxfId="23">
      <pivotArea outline="0" collapsedLevelsAreSubtotals="1" fieldPosition="0"/>
    </format>
    <format dxfId="24">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15DFB69-EF63-47FF-8CCC-81766BF91967}" name="PivotTable3" cacheId="317" applyNumberFormats="0" applyBorderFormats="0" applyFontFormats="0" applyPatternFormats="0" applyAlignmentFormats="0" applyWidthHeightFormats="1" dataCaption="Values" tag="b9a1e8c9-de72-4d6f-bd84-05fc6570ec78" updatedVersion="8" minRefreshableVersion="3" useAutoFormatting="1" subtotalHiddenItems="1" itemPrintTitles="1" createdVersion="8" indent="0" outline="1" outlineData="1" multipleFieldFilters="0">
  <location ref="A19:D28" firstHeaderRow="0" firstDataRow="1" firstDataCol="1"/>
  <pivotFields count="8">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name="Count of Order ID" fld="1" subtotal="count" baseField="0" baseItem="0"/>
    <dataField name="Sum of Unit Price Clean" fld="2" baseField="0" baseItem="0" numFmtId="165"/>
    <dataField fld="7" subtotal="count" baseField="0" baseItem="0"/>
  </dataFields>
  <formats count="3">
    <format dxfId="15">
      <pivotArea outline="0" collapsedLevelsAreSubtotals="1" fieldPosition="0"/>
    </format>
    <format dxfId="16">
      <pivotArea outline="0" collapsedLevelsAreSubtotals="1" fieldPosition="0"/>
    </format>
    <format dxfId="0">
      <pivotArea outline="0" collapsedLevelsAreSubtotals="1" fieldPosition="0">
        <references count="1">
          <reference field="4294967294" count="1" selected="0">
            <x v="1"/>
          </reference>
        </references>
      </pivotArea>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1387E3-3EE4-411B-82E8-E30D1D209BA5}" name="PivotTable1" cacheId="299" applyNumberFormats="0" applyBorderFormats="0" applyFontFormats="0" applyPatternFormats="0" applyAlignmentFormats="0" applyWidthHeightFormats="1" dataCaption="Values" tag="5cc05a4f-1434-4df5-abcc-aeeb0b41050a" updatedVersion="8" minRefreshableVersion="3" useAutoFormatting="1" subtotalHiddenItems="1" itemPrintTitles="1" createdVersion="8" indent="0" outline="1" outlineData="1" multipleFieldFilters="0">
  <location ref="A3:F16" firstHeaderRow="1" firstDataRow="2" firstDataCol="1"/>
  <pivotFields count="6">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defaultSubtotal="0" defaultAttributeDrillState="1">
      <items count="4">
        <item s="1" x="0"/>
        <item s="1" x="1"/>
        <item s="1" x="2"/>
        <item s="1" x="3"/>
      </items>
    </pivotField>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1"/>
  </colFields>
  <colItems count="5">
    <i>
      <x/>
    </i>
    <i>
      <x v="1"/>
    </i>
    <i>
      <x v="2"/>
    </i>
    <i>
      <x v="3"/>
    </i>
    <i t="grand">
      <x/>
    </i>
  </colItems>
  <dataFields count="1">
    <dataField fld="5" subtotal="count" baseField="0" baseItem="0"/>
  </dataFields>
  <formats count="1">
    <format dxfId="22">
      <pivotArea outline="0" collapsedLevelsAreSubtotals="1" fieldPosition="0"/>
    </format>
  </formats>
  <pivotHierarchies count="42">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2063EFD-D8D4-4292-951E-14F3114C2EA0}" sourceName="[Table1].[Status]">
  <pivotTables>
    <pivotTable tabId="8" name="PivotTable5"/>
    <pivotTable tabId="8" name="PivotTable1"/>
    <pivotTable tabId="8" name="PivotTable3"/>
    <pivotTable tabId="7" name="PivotTable7"/>
    <pivotTable tabId="7" name="PivotTable8"/>
    <pivotTable tabId="7" name="PivotTable9"/>
    <pivotTable tabId="7" name="PivotTable11"/>
    <pivotTable tabId="7" name="PivotTable17"/>
    <pivotTable tabId="7" name="PivotTable19"/>
    <pivotTable tabId="7" name="PivotTable21"/>
    <pivotTable tabId="7" name="PivotTable23"/>
    <pivotTable tabId="7" name="PivotTable25"/>
    <pivotTable tabId="7" name="PivotTable27"/>
    <pivotTable tabId="7" name="PivotTable28"/>
    <pivotTable tabId="7" name="PivotTable30"/>
    <pivotTable tabId="7" name="PivotTable33"/>
  </pivotTables>
  <data>
    <olap pivotCacheId="1181591190">
      <levels count="2">
        <level uniqueName="[Table1].[Status].[(All)]" sourceCaption="(All)" count="0"/>
        <level uniqueName="[Table1].[Status].[Status]" sourceCaption="Status" count="4">
          <ranges>
            <range startItem="0">
              <i n="[Table1].[Status].&amp;[Cancelled]" c="Cancelled"/>
              <i n="[Table1].[Status].&amp;[Completed]" c="Completed"/>
              <i n="[Table1].[Status].&amp;[Pending]" c="Pending"/>
              <i n="[Table1].[Status].&amp;[Returned]" c="Returned"/>
            </range>
          </ranges>
        </level>
      </levels>
      <selections count="1">
        <selection n="[Table1].[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F894BD-963E-40AA-8362-B6CAB7847305}" sourceName="[Table1].[Region]">
  <pivotTables>
    <pivotTable tabId="8" name="PivotTable5"/>
    <pivotTable tabId="8" name="PivotTable1"/>
    <pivotTable tabId="8" name="PivotTable3"/>
    <pivotTable tabId="7" name="PivotTable7"/>
    <pivotTable tabId="7" name="PivotTable8"/>
    <pivotTable tabId="7" name="PivotTable9"/>
    <pivotTable tabId="7" name="PivotTable11"/>
    <pivotTable tabId="7" name="PivotTable17"/>
    <pivotTable tabId="7" name="PivotTable19"/>
    <pivotTable tabId="7" name="PivotTable21"/>
    <pivotTable tabId="7" name="PivotTable23"/>
    <pivotTable tabId="7" name="PivotTable25"/>
    <pivotTable tabId="7" name="PivotTable27"/>
    <pivotTable tabId="7" name="PivotTable28"/>
    <pivotTable tabId="7" name="PivotTable30"/>
    <pivotTable tabId="7" name="PivotTable33"/>
  </pivotTables>
  <data>
    <olap pivotCacheId="1181591190">
      <levels count="2">
        <level uniqueName="[Table1].[Region].[(All)]" sourceCaption="(All)" count="0"/>
        <level uniqueName="[Table1].[Region].[Region]" sourceCaption="Region" count="5">
          <ranges>
            <range startItem="0">
              <i n="[Table1].[Region].&amp;[East]" c="East"/>
              <i n="[Table1].[Region].&amp;[North]" c="North"/>
              <i n="[Table1].[Region].&amp;[South]" c="South"/>
              <i n="[Table1].[Region].&amp;[West]" c="West"/>
              <i n="[Table1].[Region].&amp;[N/A]" c="N/A"/>
            </range>
          </ranges>
        </level>
      </levels>
      <selections count="4">
        <selection n="[Table1].[Region].&amp;[East]"/>
        <selection n="[Table1].[Region].&amp;[North]"/>
        <selection n="[Table1].[Region].&amp;[South]"/>
        <selection n="[Table1].[Region].&amp;[We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81E1DBA7-61FE-4A24-ACC5-4EDEA7CCD17F}" sourceName="[Calendar].[Date Hierarchy]">
  <pivotTables>
    <pivotTable tabId="7" name="PivotTable11"/>
    <pivotTable tabId="7" name="PivotTable17"/>
    <pivotTable tabId="7" name="PivotTable19"/>
    <pivotTable tabId="7" name="PivotTable21"/>
    <pivotTable tabId="7" name="PivotTable23"/>
    <pivotTable tabId="7" name="PivotTable25"/>
    <pivotTable tabId="7" name="PivotTable27"/>
    <pivotTable tabId="7" name="PivotTable28"/>
    <pivotTable tabId="7" name="PivotTable30"/>
    <pivotTable tabId="7" name="PivotTable33"/>
    <pivotTable tabId="7" name="PivotTable7"/>
    <pivotTable tabId="7" name="PivotTable9"/>
    <pivotTable tabId="8" name="PivotTable1"/>
    <pivotTable tabId="8" name="PivotTable3"/>
    <pivotTable tabId="8" name="PivotTable5"/>
  </pivotTables>
  <data>
    <olap pivotCacheId="1181591190">
      <levels count="4">
        <level uniqueName="[Calendar].[Date Hierarchy].[(All)]" sourceCaption="(All)" count="0"/>
        <level uniqueName="[Calendar].[Date Hierarchy].[Year]" sourceCaption="Year" count="0"/>
        <level uniqueName="[Calendar].[Date Hierarchy].[Month]" sourceCaption="Month" count="36">
          <ranges>
            <range startItem="0">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2024].&amp;[May]" c="May">
                <p n="[Calendar].[Date Hierarchy].[Year].&amp;[2024]"/>
              </i>
              <i n="[Calendar].[Date Hierarchy].[Year].&amp;[2024].&amp;[June]" c="June">
                <p n="[Calendar].[Date Hierarchy].[Year].&amp;[2024]"/>
              </i>
              <i n="[Calendar].[Date Hierarchy].[Year].&amp;[2024].&amp;[July]" c="July">
                <p n="[Calendar].[Date Hierarchy].[Year].&amp;[2024]"/>
              </i>
              <i n="[Calendar].[Date Hierarchy].[Year].&amp;[2024].&amp;[August]" c="August">
                <p n="[Calendar].[Date Hierarchy].[Year].&amp;[2024]"/>
              </i>
              <i n="[Calendar].[Date Hierarchy].[Year].&amp;[2024].&amp;[September]" c="September">
                <p n="[Calendar].[Date Hierarchy].[Year].&amp;[2024]"/>
              </i>
              <i n="[Calendar].[Date Hierarchy].[Year].&amp;[2024].&amp;[October]" c="October">
                <p n="[Calendar].[Date Hierarchy].[Year].&amp;[2024]"/>
              </i>
              <i n="[Calendar].[Date Hierarchy].[Year].&amp;[2024].&amp;[November]" c="November">
                <p n="[Calendar].[Date Hierarchy].[Year].&amp;[2024]"/>
              </i>
              <i n="[Calendar].[Date Hierarchy].[Year].&amp;[2024].&amp;[December]" c="December">
                <p n="[Calendar].[Date Hierarchy].[Year].&amp;[2024]"/>
              </i>
              <i n="[Calendar].[Date Hierarchy].[Year].&amp;[2025].&amp;[January]" c="January" nd="1">
                <p n="[Calendar].[Date Hierarchy].[Year].&amp;[2025]"/>
              </i>
              <i n="[Calendar].[Date Hierarchy].[Year].&amp;[2025].&amp;[February]" c="February" nd="1">
                <p n="[Calendar].[Date Hierarchy].[Year].&amp;[2025]"/>
              </i>
              <i n="[Calendar].[Date Hierarchy].[Year].&amp;[2025].&amp;[March]" c="March" nd="1">
                <p n="[Calendar].[Date Hierarchy].[Year].&amp;[2025]"/>
              </i>
              <i n="[Calendar].[Date Hierarchy].[Year].&amp;[2025].&amp;[April]" c="April" nd="1">
                <p n="[Calendar].[Date Hierarchy].[Year].&amp;[2025]"/>
              </i>
              <i n="[Calendar].[Date Hierarchy].[Year].&amp;[2025].&amp;[May]" c="May" nd="1">
                <p n="[Calendar].[Date Hierarchy].[Year].&amp;[2025]"/>
              </i>
              <i n="[Calendar].[Date Hierarchy].[Year].&amp;[2025].&amp;[June]" c="June" nd="1">
                <p n="[Calendar].[Date Hierarchy].[Year].&amp;[2025]"/>
              </i>
              <i n="[Calendar].[Date Hierarchy].[Year].&amp;[2025].&amp;[July]" c="July" nd="1">
                <p n="[Calendar].[Date Hierarchy].[Year].&amp;[2025]"/>
              </i>
              <i n="[Calendar].[Date Hierarchy].[Year].&amp;[2025].&amp;[August]" c="August" nd="1">
                <p n="[Calendar].[Date Hierarchy].[Year].&amp;[2025]"/>
              </i>
              <i n="[Calendar].[Date Hierarchy].[Year].&amp;[2025].&amp;[September]" c="September" nd="1">
                <p n="[Calendar].[Date Hierarchy].[Year].&amp;[2025]"/>
              </i>
              <i n="[Calendar].[Date Hierarchy].[Year].&amp;[2025].&amp;[October]" c="October" nd="1">
                <p n="[Calendar].[Date Hierarchy].[Year].&amp;[2025]"/>
              </i>
              <i n="[Calendar].[Date Hierarchy].[Year].&amp;[2025].&amp;[November]" c="November" nd="1">
                <p n="[Calendar].[Date Hierarchy].[Year].&amp;[2025]"/>
              </i>
              <i n="[Calendar].[Date Hierarchy].[Year].&amp;[2025].&amp;[December]" c="December" nd="1">
                <p n="[Calendar].[Date Hierarchy].[Year].&amp;[2025]"/>
              </i>
              <i n="[Calendar].[Date Hierarchy].[Year].&amp;[2026].&amp;[January]" c="January" nd="1">
                <p n="[Calendar].[Date Hierarchy].[Year].&amp;[2026]"/>
              </i>
              <i n="[Calendar].[Date Hierarchy].[Year].&amp;[2026].&amp;[February]" c="February" nd="1">
                <p n="[Calendar].[Date Hierarchy].[Year].&amp;[2026]"/>
              </i>
              <i n="[Calendar].[Date Hierarchy].[Year].&amp;[2026].&amp;[March]" c="March" nd="1">
                <p n="[Calendar].[Date Hierarchy].[Year].&amp;[2026]"/>
              </i>
              <i n="[Calendar].[Date Hierarchy].[Year].&amp;[2026].&amp;[April]" c="April" nd="1">
                <p n="[Calendar].[Date Hierarchy].[Year].&amp;[2026]"/>
              </i>
              <i n="[Calendar].[Date Hierarchy].[Year].&amp;[2026].&amp;[May]" c="May" nd="1">
                <p n="[Calendar].[Date Hierarchy].[Year].&amp;[2026]"/>
              </i>
              <i n="[Calendar].[Date Hierarchy].[Year].&amp;[2026].&amp;[June]" c="June" nd="1">
                <p n="[Calendar].[Date Hierarchy].[Year].&amp;[2026]"/>
              </i>
              <i n="[Calendar].[Date Hierarchy].[Year].&amp;[2026].&amp;[July]" c="July" nd="1">
                <p n="[Calendar].[Date Hierarchy].[Year].&amp;[2026]"/>
              </i>
              <i n="[Calendar].[Date Hierarchy].[Year].&amp;[2026].&amp;[August]" c="August" nd="1">
                <p n="[Calendar].[Date Hierarchy].[Year].&amp;[2026]"/>
              </i>
              <i n="[Calendar].[Date Hierarchy].[Year].&amp;[2026].&amp;[September]" c="September" nd="1">
                <p n="[Calendar].[Date Hierarchy].[Year].&amp;[2026]"/>
              </i>
              <i n="[Calendar].[Date Hierarchy].[Year].&amp;[2026].&amp;[October]" c="October" nd="1">
                <p n="[Calendar].[Date Hierarchy].[Year].&amp;[2026]"/>
              </i>
              <i n="[Calendar].[Date Hierarchy].[Year].&amp;[2026].&amp;[November]" c="November" nd="1">
                <p n="[Calendar].[Date Hierarchy].[Year].&amp;[2026]"/>
              </i>
              <i n="[Calendar].[Date Hierarchy].[Year].&amp;[2026].&amp;[December]" c="December" nd="1">
                <p n="[Calendar].[Date Hierarchy].[Year].&amp;[2026]"/>
              </i>
            </range>
          </ranges>
        </level>
        <level uniqueName="[Calendar].[Date Hierarchy].[DateColumn]" sourceCaption="DateColumn" count="0"/>
      </levels>
      <selections count="1">
        <selection n="[Calendar].[Date Hierarchy].[Year].&amp;[2024]"/>
      </selections>
    </olap>
  </data>
  <extLst>
    <x:ext xmlns:x15="http://schemas.microsoft.com/office/spreadsheetml/2010/11/main" uri="{470722E0-AACD-4C17-9CDC-17EF765DBC7E}">
      <x15:slicerCacheHideItemsWithNoData count="1">
        <x15:slicerCacheOlapLevelName uniqueName="[Calendar].[Date Hierarchy].[Month]" count="24"/>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425A297-03C7-40DC-979F-00D286E30F48}" cache="Slicer_Date_Hierarchy" caption="Month" showCaption="0" level="2" style="SlicerStyleLight1 2" rowHeight="7315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A3E306B3-7D62-4B34-AA66-8D313936BEDC}" cache="Slicer_Status" caption="Status" level="1" rowHeight="234950"/>
  <slicer name="Region" xr10:uid="{1D3D3EA2-B095-42B2-849F-78A545B9A21E}"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68A32-7AFA-4A15-BF2A-D1AC2C60C42E}" name="Table1" displayName="Table1" ref="A1:S428" totalsRowShown="0" headerRowDxfId="375" dataDxfId="373" headerRowBorderDxfId="374" tableBorderDxfId="372" totalsRowBorderDxfId="371">
  <autoFilter ref="A1:S428" xr:uid="{53668A32-7AFA-4A15-BF2A-D1AC2C60C42E}"/>
  <sortState xmlns:xlrd2="http://schemas.microsoft.com/office/spreadsheetml/2017/richdata2" ref="A12:S423">
    <sortCondition ref="K1:K428"/>
  </sortState>
  <tableColumns count="19">
    <tableColumn id="1" xr3:uid="{5F5C4DB2-F630-42AC-B140-12D39903F05B}" name="Order ID" dataDxfId="370"/>
    <tableColumn id="2" xr3:uid="{E9611C3E-87B0-4B5E-87F0-26CB10EB587D}" name="Order Date" dataDxfId="369"/>
    <tableColumn id="3" xr3:uid="{AB4D1B5D-FC8C-4292-851B-D050959FFDD4}" name="Customer ID" dataDxfId="368"/>
    <tableColumn id="4" xr3:uid="{3B27C44D-EE89-473C-B0FB-87949936DAA0}" name="Sales Rep" dataDxfId="367"/>
    <tableColumn id="5" xr3:uid="{26B914E3-4A36-4728-B521-ACCF5132AAA3}" name="Region" dataDxfId="366"/>
    <tableColumn id="6" xr3:uid="{154BED66-A93B-4A27-94AB-14C779C957F7}" name="Product" dataDxfId="365"/>
    <tableColumn id="7" xr3:uid="{35880338-B952-4CB3-9934-665009C7E68B}" name="Category" dataDxfId="364"/>
    <tableColumn id="8" xr3:uid="{AEBD8917-E2B1-4CA6-823B-66550538640D}" name="Channel" dataDxfId="363"/>
    <tableColumn id="9" xr3:uid="{AE29CEBF-39E2-4355-B057-C9FA700DFC34}" name="Quantity" dataDxfId="362"/>
    <tableColumn id="10" xr3:uid="{2A009FCF-A549-4297-913F-0116008A9549}" name="Unit Price (₦)" dataDxfId="361"/>
    <tableColumn id="27" xr3:uid="{552F3BE5-18AB-4FE1-A5E7-CA0421C5A4C3}" name="Unit Price Clean" dataDxfId="360">
      <calculatedColumnFormula>J2</calculatedColumnFormula>
    </tableColumn>
    <tableColumn id="28" xr3:uid="{12FE9E82-E920-450A-8109-DC7120EC57E7}" name="Revenue" dataDxfId="359">
      <calculatedColumnFormula>I2*K2</calculatedColumnFormula>
    </tableColumn>
    <tableColumn id="11" xr3:uid="{B3F48978-86F1-4D52-A730-9ACE3AB0B249}" name="Discount (%)" dataDxfId="358"/>
    <tableColumn id="29" xr3:uid="{855CD9CD-C243-4FDF-947A-774E520CA912}" name="Discount" dataDxfId="357">
      <calculatedColumnFormula>M2/100 * L2</calculatedColumnFormula>
    </tableColumn>
    <tableColumn id="30" xr3:uid="{A6786BAA-EEAB-49F3-BF2E-5D95679C50D0}" name="Net Revenue" dataDxfId="356">
      <calculatedColumnFormula>L2-N2</calculatedColumnFormula>
    </tableColumn>
    <tableColumn id="12" xr3:uid="{85DB140A-5940-4F1C-BB7E-829D1CB38EFE}" name="Status" dataDxfId="355"/>
    <tableColumn id="13" xr3:uid="{2AF7CCFA-B3A5-4F7C-8A1E-E45F2272D2D0}" name="Product_Clean" dataDxfId="354"/>
    <tableColumn id="17" xr3:uid="{852DC9C7-4243-482D-968C-4D377C4AB094}" name="Category_Clean" dataDxfId="353"/>
    <tableColumn id="18" xr3:uid="{7E780285-83C6-4E00-ABC5-94BEB7250604}" name="Channel_Clean" dataDxfId="35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F42627-8F2E-4F8D-A784-CB17EDA71A74}" name="Table2" displayName="Table2" ref="A1:N50" totalsRowShown="0" headerRowDxfId="351" dataDxfId="349" headerRowBorderDxfId="350" tableBorderDxfId="348" totalsRowBorderDxfId="347">
  <autoFilter ref="A1:N50" xr:uid="{A2F42627-8F2E-4F8D-A784-CB17EDA71A74}"/>
  <tableColumns count="14">
    <tableColumn id="1" xr3:uid="{A22B0E0A-180F-4692-BA2D-A65EEC47BEFB}" name="Order ID" dataDxfId="346"/>
    <tableColumn id="2" xr3:uid="{BF36EE5C-DC9E-41F8-9521-73D92C14580D}" name="Product" dataDxfId="345"/>
    <tableColumn id="3" xr3:uid="{F3381C2A-1992-4905-9AF3-BF63F8495D03}" name="Quantity" dataDxfId="344"/>
    <tableColumn id="4" xr3:uid="{C96AB8B8-0D15-4854-A140-C27EACCA0C12}" name="Unit Price (₦)" dataDxfId="343"/>
    <tableColumn id="5" xr3:uid="{E5683A59-DAEA-4014-8AA2-40C649754647}" name="Discount (%)" dataDxfId="342"/>
    <tableColumn id="6" xr3:uid="{B105D952-1ACD-437A-9603-398789BFA355}" name="Status" dataDxfId="341"/>
    <tableColumn id="7" xr3:uid="{5A5E8445-69F8-4C3C-9466-D3CD913BC9ED}" name="Revenue (₦)" dataDxfId="340">
      <calculatedColumnFormula>C2*D2</calculatedColumnFormula>
    </tableColumn>
    <tableColumn id="8" xr3:uid="{C35A2BF3-5498-4037-B1D6-04EDE056C4C0}" name="Discounted Revenue (₦)" dataDxfId="339">
      <calculatedColumnFormula>G2*(1-E2/100)</calculatedColumnFormula>
    </tableColumn>
    <tableColumn id="9" xr3:uid="{CF27D91C-99B9-45CD-BA45-18A1CC6303BF}" name="VAT 7.5% (₦)" dataDxfId="338">
      <calculatedColumnFormula>H2*0.075</calculatedColumnFormula>
    </tableColumn>
    <tableColumn id="10" xr3:uid="{F61A1459-17EE-4486-B654-B9B3F789F519}" name="Net Revenue (₦)" dataDxfId="337">
      <calculatedColumnFormula>H2+I2</calculatedColumnFormula>
    </tableColumn>
    <tableColumn id="11" xr3:uid="{E39ED0AE-5904-40C9-84A0-D810B12C9B71}" name="Category (XLOOKUP)" dataDxfId="336">
      <calculatedColumnFormula>IFERROR(_xlfn.XLOOKUP(B:B,LOOKUP_TABLES!A:A,LOOKUP_TABLES!B:B),"Not Found")</calculatedColumnFormula>
    </tableColumn>
    <tableColumn id="17" xr3:uid="{379E764A-5F97-4A26-B68B-CEF49161168E}" name="Supplier Name" dataDxfId="335">
      <calculatedColumnFormula>IFERROR(_xlfn.XLOOKUP(M:M,LOOKUP_TABLES!E:E,LOOKUP_TABLES!D:D),"Not Found")</calculatedColumnFormula>
    </tableColumn>
    <tableColumn id="12" xr3:uid="{023FBEAE-5D4A-4C4B-B577-EEC67E5256D2}" name="Warranty (INDEX-MATCH)" dataDxfId="334">
      <calculatedColumnFormula>IFERROR(INDEX(LOOKUP_TABLES!E:E,MATCH(B2,LOOKUP_TABLES!A:A,0)),"Not Found")</calculatedColumnFormula>
    </tableColumn>
    <tableColumn id="18" xr3:uid="{32068974-D1C3-423F-AAEC-2CFA173CBDE0}" name="SKU" dataDxfId="333">
      <calculatedColumnFormula>_xlfn.XLOOKUP(B:B,LOOKUP_TABLES!A:A,LOOKUP_TABLES!F:F)</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5A0C-97BE-4441-AFFD-E9ECFD97C4B7}">
  <dimension ref="A1:AX150"/>
  <sheetViews>
    <sheetView showGridLines="0" tabSelected="1" topLeftCell="A4" zoomScale="57" workbookViewId="0">
      <selection activeCell="AO35" sqref="AO35"/>
    </sheetView>
  </sheetViews>
  <sheetFormatPr defaultRowHeight="14.4" x14ac:dyDescent="0.3"/>
  <sheetData>
    <row r="1" spans="1:42" x14ac:dyDescent="0.3">
      <c r="A1" s="66"/>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row>
    <row r="2" spans="1:42" x14ac:dyDescent="0.3">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row>
    <row r="3" spans="1:42" x14ac:dyDescent="0.3">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row>
    <row r="4" spans="1:42" x14ac:dyDescent="0.3">
      <c r="A4" s="66"/>
      <c r="B4" s="66"/>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row>
    <row r="5" spans="1:42" x14ac:dyDescent="0.3">
      <c r="A5" s="66"/>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row>
    <row r="6" spans="1:42" x14ac:dyDescent="0.3">
      <c r="A6" s="66"/>
      <c r="B6" s="66"/>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row>
    <row r="7" spans="1:42" x14ac:dyDescent="0.3">
      <c r="A7" s="66"/>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row>
    <row r="8" spans="1:42" x14ac:dyDescent="0.3">
      <c r="A8" s="66"/>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row>
    <row r="9" spans="1:42" x14ac:dyDescent="0.3">
      <c r="A9" s="66"/>
      <c r="B9" s="6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row>
    <row r="10" spans="1:42" x14ac:dyDescent="0.3">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row>
    <row r="11" spans="1:42" x14ac:dyDescent="0.3">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row>
    <row r="12" spans="1:42" x14ac:dyDescent="0.3">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row>
    <row r="13" spans="1:42" x14ac:dyDescent="0.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row>
    <row r="14" spans="1:42" x14ac:dyDescent="0.3">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row>
    <row r="15" spans="1:42" x14ac:dyDescent="0.3">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row>
    <row r="16" spans="1:42" x14ac:dyDescent="0.3">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row>
    <row r="17" spans="1:47" x14ac:dyDescent="0.3">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row>
    <row r="18" spans="1:47" x14ac:dyDescent="0.3">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row>
    <row r="19" spans="1:47" x14ac:dyDescent="0.3">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row>
    <row r="20" spans="1:47" x14ac:dyDescent="0.3">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row>
    <row r="21" spans="1:47" x14ac:dyDescent="0.3">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row>
    <row r="22" spans="1:47" x14ac:dyDescent="0.3">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row>
    <row r="23" spans="1:47" x14ac:dyDescent="0.3">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U23" t="s">
        <v>1043</v>
      </c>
    </row>
    <row r="24" spans="1:47" x14ac:dyDescent="0.3">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row>
    <row r="25" spans="1:47" x14ac:dyDescent="0.3">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row>
    <row r="26" spans="1:47" x14ac:dyDescent="0.3">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row>
    <row r="27" spans="1:47" x14ac:dyDescent="0.3">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row>
    <row r="28" spans="1:47" x14ac:dyDescent="0.3">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row>
    <row r="29" spans="1:47" x14ac:dyDescent="0.3">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row>
    <row r="30" spans="1:47" x14ac:dyDescent="0.3">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row>
    <row r="31" spans="1:47" x14ac:dyDescent="0.3">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row>
    <row r="32" spans="1:47" x14ac:dyDescent="0.3">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row>
    <row r="33" spans="1:50" x14ac:dyDescent="0.3">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row>
    <row r="34" spans="1:50" x14ac:dyDescent="0.3">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row>
    <row r="35" spans="1:50" x14ac:dyDescent="0.3">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row>
    <row r="36" spans="1:50" x14ac:dyDescent="0.3">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row>
    <row r="37" spans="1:50" x14ac:dyDescent="0.3">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row>
    <row r="38" spans="1:50" x14ac:dyDescent="0.3">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row>
    <row r="39" spans="1:50" x14ac:dyDescent="0.3">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row>
    <row r="40" spans="1:50" x14ac:dyDescent="0.3">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row>
    <row r="41" spans="1:50" x14ac:dyDescent="0.3">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row>
    <row r="42" spans="1:50" x14ac:dyDescent="0.3">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row>
    <row r="43" spans="1:50" x14ac:dyDescent="0.3">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row>
    <row r="44" spans="1:50" x14ac:dyDescent="0.3">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row>
    <row r="45" spans="1:50" x14ac:dyDescent="0.3">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row>
    <row r="46" spans="1:50"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row>
    <row r="47" spans="1:50" x14ac:dyDescent="0.3">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X47" t="s">
        <v>1044</v>
      </c>
    </row>
    <row r="48" spans="1:50" x14ac:dyDescent="0.3">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row>
    <row r="49" spans="1:42" x14ac:dyDescent="0.3">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row>
    <row r="50" spans="1:42" x14ac:dyDescent="0.3">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row>
    <row r="51" spans="1:42" x14ac:dyDescent="0.3">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row>
    <row r="52" spans="1:42" x14ac:dyDescent="0.3">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row>
    <row r="53" spans="1:42" x14ac:dyDescent="0.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row>
    <row r="54" spans="1:42" x14ac:dyDescent="0.3">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row>
    <row r="55" spans="1:42" x14ac:dyDescent="0.3">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row>
    <row r="56" spans="1:42" x14ac:dyDescent="0.3">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row>
    <row r="57" spans="1:42" x14ac:dyDescent="0.3">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row>
    <row r="58" spans="1:42" x14ac:dyDescent="0.3">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row>
    <row r="59" spans="1:42" x14ac:dyDescent="0.3">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row>
    <row r="60" spans="1:42" x14ac:dyDescent="0.3">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row>
    <row r="61" spans="1:42" x14ac:dyDescent="0.3">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row>
    <row r="62" spans="1:42" x14ac:dyDescent="0.3">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row>
    <row r="63" spans="1:42" x14ac:dyDescent="0.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row>
    <row r="64" spans="1:42" x14ac:dyDescent="0.3">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row>
    <row r="65" spans="1:42" x14ac:dyDescent="0.3">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row>
    <row r="66" spans="1:42" x14ac:dyDescent="0.3">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row>
    <row r="67" spans="1:42" x14ac:dyDescent="0.3">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row>
    <row r="68" spans="1:42" x14ac:dyDescent="0.3">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row>
    <row r="69" spans="1:42" x14ac:dyDescent="0.3">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row>
    <row r="70" spans="1:42" x14ac:dyDescent="0.3">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row>
    <row r="71" spans="1:42" x14ac:dyDescent="0.3">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row>
    <row r="72" spans="1:42" x14ac:dyDescent="0.3">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H72" s="66"/>
      <c r="AI72" s="66"/>
      <c r="AJ72" s="66"/>
      <c r="AK72" s="66"/>
      <c r="AL72" s="66"/>
      <c r="AM72" s="66"/>
      <c r="AN72" s="66"/>
      <c r="AO72" s="66"/>
      <c r="AP72" s="66"/>
    </row>
    <row r="73" spans="1:42" x14ac:dyDescent="0.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row>
    <row r="74" spans="1:42" x14ac:dyDescent="0.3">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row>
    <row r="75" spans="1:42" x14ac:dyDescent="0.3">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row>
    <row r="76" spans="1:42" x14ac:dyDescent="0.3">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row>
    <row r="77" spans="1:42" x14ac:dyDescent="0.3">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row>
    <row r="78" spans="1:42" x14ac:dyDescent="0.3">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row>
    <row r="79" spans="1:42" x14ac:dyDescent="0.3">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row>
    <row r="80" spans="1:42" x14ac:dyDescent="0.3">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row>
    <row r="81" spans="1:42" x14ac:dyDescent="0.3">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row>
    <row r="82" spans="1:42" x14ac:dyDescent="0.3">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row>
    <row r="83" spans="1:42" x14ac:dyDescent="0.3">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row>
    <row r="84" spans="1:42" x14ac:dyDescent="0.3">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row>
    <row r="85" spans="1:42" x14ac:dyDescent="0.3">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row>
    <row r="86" spans="1:42" x14ac:dyDescent="0.3">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row>
    <row r="87" spans="1:42" x14ac:dyDescent="0.3">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row>
    <row r="88" spans="1:42" x14ac:dyDescent="0.3">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row>
    <row r="89" spans="1:42"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row>
    <row r="90" spans="1:42" x14ac:dyDescent="0.3">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row>
    <row r="91" spans="1:42" x14ac:dyDescent="0.3">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row>
    <row r="92" spans="1:42" x14ac:dyDescent="0.3">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row>
    <row r="93" spans="1:42" x14ac:dyDescent="0.3">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row>
    <row r="94" spans="1:42" x14ac:dyDescent="0.3">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row>
    <row r="95" spans="1:42" x14ac:dyDescent="0.3">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row>
    <row r="96" spans="1:42" x14ac:dyDescent="0.3">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row>
    <row r="97" spans="1:42" x14ac:dyDescent="0.3">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row>
    <row r="98" spans="1:42" x14ac:dyDescent="0.3">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row>
    <row r="99" spans="1:42" x14ac:dyDescent="0.3">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row>
    <row r="100" spans="1:42" x14ac:dyDescent="0.3">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row>
    <row r="101" spans="1:42" x14ac:dyDescent="0.3">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row>
    <row r="102" spans="1:42" x14ac:dyDescent="0.3">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row>
    <row r="103" spans="1:42" x14ac:dyDescent="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row>
    <row r="104" spans="1:42" x14ac:dyDescent="0.3">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row>
    <row r="105" spans="1:42" x14ac:dyDescent="0.3">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row>
    <row r="106" spans="1:42" x14ac:dyDescent="0.3">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row>
    <row r="107" spans="1:42" x14ac:dyDescent="0.3">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row>
    <row r="108" spans="1:42" x14ac:dyDescent="0.3">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row>
    <row r="109" spans="1:42" x14ac:dyDescent="0.3">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row>
    <row r="110" spans="1:42" x14ac:dyDescent="0.3">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row>
    <row r="111" spans="1:42" x14ac:dyDescent="0.3">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row>
    <row r="112" spans="1:42" x14ac:dyDescent="0.3">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row>
    <row r="113" spans="1:30" x14ac:dyDescent="0.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row>
    <row r="114" spans="1:30" x14ac:dyDescent="0.3">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row>
    <row r="115" spans="1:30" x14ac:dyDescent="0.3">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row>
    <row r="116" spans="1:30" x14ac:dyDescent="0.3">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row>
    <row r="117" spans="1:30" x14ac:dyDescent="0.3">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row>
    <row r="118" spans="1:30" x14ac:dyDescent="0.3">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row>
    <row r="119" spans="1:30" x14ac:dyDescent="0.3">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row>
    <row r="120" spans="1:30" x14ac:dyDescent="0.3">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row>
    <row r="121" spans="1:30" x14ac:dyDescent="0.3">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row>
    <row r="122" spans="1:30" x14ac:dyDescent="0.3">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row>
    <row r="123" spans="1:30" x14ac:dyDescent="0.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row>
    <row r="124" spans="1:30" x14ac:dyDescent="0.3">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row>
    <row r="125" spans="1:30" x14ac:dyDescent="0.3">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row>
    <row r="126" spans="1:30" x14ac:dyDescent="0.3">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row>
    <row r="127" spans="1:30" x14ac:dyDescent="0.3">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row>
    <row r="128" spans="1:30" x14ac:dyDescent="0.3">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row>
    <row r="129" spans="1:30" x14ac:dyDescent="0.3">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row>
    <row r="130" spans="1:30" x14ac:dyDescent="0.3">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row>
    <row r="131" spans="1:30" x14ac:dyDescent="0.3">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row>
    <row r="132" spans="1:30" x14ac:dyDescent="0.3">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row>
    <row r="133" spans="1:30" x14ac:dyDescent="0.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row>
    <row r="134" spans="1:30" x14ac:dyDescent="0.3">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row>
    <row r="135" spans="1:30" x14ac:dyDescent="0.3">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row>
    <row r="136" spans="1:30" x14ac:dyDescent="0.3">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row>
    <row r="137" spans="1:30" x14ac:dyDescent="0.3">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row>
    <row r="138" spans="1:30" x14ac:dyDescent="0.3">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row>
    <row r="139" spans="1:30" x14ac:dyDescent="0.3">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row>
    <row r="140" spans="1:30" x14ac:dyDescent="0.3">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row>
    <row r="141" spans="1:30" x14ac:dyDescent="0.3">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row>
    <row r="142" spans="1:30" x14ac:dyDescent="0.3">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row>
    <row r="143" spans="1:30" x14ac:dyDescent="0.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row>
    <row r="144" spans="1:30" x14ac:dyDescent="0.3">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row>
    <row r="145" spans="1:30" x14ac:dyDescent="0.3">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row>
    <row r="146" spans="1:30" x14ac:dyDescent="0.3">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row>
    <row r="147" spans="1:30" x14ac:dyDescent="0.3">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row>
    <row r="148" spans="1:30" x14ac:dyDescent="0.3">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row>
    <row r="149" spans="1:30" x14ac:dyDescent="0.3">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row>
    <row r="150" spans="1:30" x14ac:dyDescent="0.3">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A0F7-748C-42C2-8D85-78A6C2E87C74}">
  <dimension ref="A1:S69"/>
  <sheetViews>
    <sheetView topLeftCell="E1" workbookViewId="0">
      <selection activeCell="H28" sqref="H28"/>
    </sheetView>
  </sheetViews>
  <sheetFormatPr defaultRowHeight="14.4" x14ac:dyDescent="0.3"/>
  <cols>
    <col min="1" max="1" width="42" customWidth="1"/>
    <col min="2" max="2" width="17.44140625" bestFit="1" customWidth="1"/>
    <col min="5" max="5" width="14.88671875" bestFit="1" customWidth="1"/>
    <col min="6" max="6" width="13.109375" bestFit="1" customWidth="1"/>
    <col min="7" max="7" width="11.44140625" bestFit="1" customWidth="1"/>
    <col min="8" max="8" width="11.44140625" customWidth="1"/>
    <col min="9" max="9" width="13.109375" bestFit="1" customWidth="1"/>
    <col min="10" max="10" width="18.44140625" bestFit="1" customWidth="1"/>
    <col min="11" max="11" width="11.21875" bestFit="1" customWidth="1"/>
    <col min="12" max="12" width="11.44140625" bestFit="1" customWidth="1"/>
    <col min="13" max="13" width="8" bestFit="1" customWidth="1"/>
    <col min="14" max="14" width="11.44140625" bestFit="1" customWidth="1"/>
    <col min="15" max="15" width="10.88671875" bestFit="1" customWidth="1"/>
    <col min="16" max="16" width="15.109375" bestFit="1" customWidth="1"/>
    <col min="17" max="17" width="8.109375" bestFit="1" customWidth="1"/>
    <col min="18" max="18" width="11.44140625" bestFit="1" customWidth="1"/>
    <col min="19" max="19" width="13.109375" bestFit="1" customWidth="1"/>
    <col min="20" max="20" width="15.109375" bestFit="1" customWidth="1"/>
    <col min="53" max="53" width="14.88671875" bestFit="1" customWidth="1"/>
    <col min="54" max="54" width="10.88671875" bestFit="1" customWidth="1"/>
  </cols>
  <sheetData>
    <row r="1" spans="1:19" x14ac:dyDescent="0.3">
      <c r="A1" s="37" t="s">
        <v>986</v>
      </c>
      <c r="B1" s="37"/>
    </row>
    <row r="2" spans="1:19" x14ac:dyDescent="0.3">
      <c r="A2" t="s">
        <v>40</v>
      </c>
      <c r="B2" s="35">
        <f>SUMIFS(Table1[Net Revenue],Table1[Region],"East",Table1[Status],"Completed")</f>
        <v>153956200</v>
      </c>
      <c r="E2" s="37" t="s">
        <v>1018</v>
      </c>
      <c r="I2" s="37" t="s">
        <v>1019</v>
      </c>
      <c r="J2" s="37"/>
    </row>
    <row r="3" spans="1:19" x14ac:dyDescent="0.3">
      <c r="A3" t="s">
        <v>56</v>
      </c>
      <c r="B3" s="35">
        <f>SUMIFS(Table1[Net Revenue],Table1[Region],"West",Table1[Status],"Completed")</f>
        <v>63334700</v>
      </c>
      <c r="E3" s="37" t="s">
        <v>1014</v>
      </c>
      <c r="I3" s="37" t="s">
        <v>987</v>
      </c>
      <c r="J3" s="37"/>
      <c r="K3" s="37" t="s">
        <v>1025</v>
      </c>
    </row>
    <row r="4" spans="1:19" x14ac:dyDescent="0.3">
      <c r="A4" t="s">
        <v>49</v>
      </c>
      <c r="B4" s="35">
        <f>SUMIFS(Table1[Net Revenue],Table1[Region],"North",Table1[Status],"Completed")</f>
        <v>146717750</v>
      </c>
      <c r="E4" s="41" t="s">
        <v>995</v>
      </c>
      <c r="F4" t="s">
        <v>1023</v>
      </c>
      <c r="I4" t="s">
        <v>1023</v>
      </c>
      <c r="K4" t="s">
        <v>1024</v>
      </c>
      <c r="M4" t="s">
        <v>1041</v>
      </c>
      <c r="O4" t="s">
        <v>1026</v>
      </c>
      <c r="Q4" t="s">
        <v>1042</v>
      </c>
      <c r="S4" t="s">
        <v>1029</v>
      </c>
    </row>
    <row r="5" spans="1:19" x14ac:dyDescent="0.3">
      <c r="A5" t="s">
        <v>70</v>
      </c>
      <c r="B5" s="35">
        <f>SUMIFS(Table1[Net Revenue],Table1[Region],"South",Table1[Status],"Completed")</f>
        <v>98893650</v>
      </c>
      <c r="E5" s="42" t="s">
        <v>40</v>
      </c>
      <c r="F5" s="76">
        <v>153956200</v>
      </c>
      <c r="I5" s="76">
        <v>462902300</v>
      </c>
      <c r="K5" s="79">
        <v>424</v>
      </c>
      <c r="M5" s="76">
        <v>1718994.2216981133</v>
      </c>
      <c r="O5" s="81">
        <v>0.23474178403755869</v>
      </c>
      <c r="Q5" s="75">
        <v>2867</v>
      </c>
      <c r="S5" s="74">
        <v>35825700</v>
      </c>
    </row>
    <row r="6" spans="1:19" x14ac:dyDescent="0.3">
      <c r="B6" s="35"/>
      <c r="E6" s="42" t="s">
        <v>49</v>
      </c>
      <c r="F6" s="76">
        <v>146717750</v>
      </c>
    </row>
    <row r="7" spans="1:19" x14ac:dyDescent="0.3">
      <c r="A7" s="37" t="s">
        <v>990</v>
      </c>
      <c r="E7" s="42" t="s">
        <v>70</v>
      </c>
      <c r="F7" s="76">
        <v>98893650</v>
      </c>
    </row>
    <row r="8" spans="1:19" x14ac:dyDescent="0.3">
      <c r="A8" s="38" t="s">
        <v>39</v>
      </c>
      <c r="B8">
        <f>COUNTIFS(Table1[Status],"Completed",Table1[Sales Rep],"Yemi Osinbajo")</f>
        <v>30</v>
      </c>
      <c r="E8" s="42" t="s">
        <v>56</v>
      </c>
      <c r="F8" s="76">
        <v>63334700</v>
      </c>
    </row>
    <row r="9" spans="1:19" ht="15.6" x14ac:dyDescent="0.3">
      <c r="A9" s="39" t="s">
        <v>48</v>
      </c>
      <c r="B9">
        <f>COUNTIFS(Table1[Status],"Completed",Table1[Sales Rep],"Fatima Aliyu")</f>
        <v>32</v>
      </c>
      <c r="E9" s="42" t="s">
        <v>996</v>
      </c>
      <c r="F9" s="76">
        <v>462902300</v>
      </c>
      <c r="I9" s="68">
        <f>I5</f>
        <v>462902300</v>
      </c>
      <c r="J9" s="69"/>
      <c r="K9" s="70">
        <f>K5</f>
        <v>424</v>
      </c>
      <c r="L9" s="69"/>
      <c r="M9" s="68">
        <f>M5</f>
        <v>1718994.2216981133</v>
      </c>
      <c r="N9" s="69"/>
      <c r="O9" s="71">
        <f>O5</f>
        <v>0.23474178403755869</v>
      </c>
      <c r="P9" s="69"/>
      <c r="Q9" s="72">
        <f>Q5</f>
        <v>2867</v>
      </c>
      <c r="R9" s="69"/>
      <c r="S9" s="68">
        <f>S5</f>
        <v>35825700</v>
      </c>
    </row>
    <row r="10" spans="1:19" x14ac:dyDescent="0.3">
      <c r="A10" s="38" t="s">
        <v>55</v>
      </c>
      <c r="B10">
        <f>COUNTIFS(Table1[Status],"Completed",Table1[Sales Rep],"James Okafor")</f>
        <v>20</v>
      </c>
    </row>
    <row r="11" spans="1:19" x14ac:dyDescent="0.3">
      <c r="A11" s="38" t="s">
        <v>75</v>
      </c>
      <c r="B11">
        <f>COUNTIFS(Table1[Status],"Completed",Table1[Sales Rep],"Ngozi Adeyemi")</f>
        <v>29</v>
      </c>
      <c r="F11" s="67"/>
    </row>
    <row r="12" spans="1:19" x14ac:dyDescent="0.3">
      <c r="A12" s="39" t="s">
        <v>81</v>
      </c>
      <c r="B12">
        <f>COUNTIFS(Table1[Status],"Completed",Table1[Sales Rep],"Emeka Nwosu")</f>
        <v>28</v>
      </c>
      <c r="E12" s="37" t="s">
        <v>1015</v>
      </c>
      <c r="F12" s="67"/>
    </row>
    <row r="13" spans="1:19" x14ac:dyDescent="0.3">
      <c r="A13" s="28" t="s">
        <v>109</v>
      </c>
      <c r="B13">
        <f>COUNTIFS(Table1[Status],"Completed",Table1[Sales Rep],"Ibrahim Musa")</f>
        <v>22</v>
      </c>
      <c r="E13" s="41" t="s">
        <v>995</v>
      </c>
      <c r="F13" s="77" t="s">
        <v>1023</v>
      </c>
    </row>
    <row r="14" spans="1:19" x14ac:dyDescent="0.3">
      <c r="A14" s="38" t="s">
        <v>118</v>
      </c>
      <c r="B14">
        <f>COUNTIFS(Table1[Status],"Completed",Table1[Sales Rep],"Tunde Fashola")</f>
        <v>28</v>
      </c>
      <c r="E14" s="42" t="s">
        <v>1030</v>
      </c>
      <c r="F14" s="76">
        <v>49635800</v>
      </c>
    </row>
    <row r="15" spans="1:19" x14ac:dyDescent="0.3">
      <c r="A15" s="39" t="s">
        <v>141</v>
      </c>
      <c r="B15">
        <f>COUNTIFS(Table1[Status],"Completed",Table1[Sales Rep],"Amaka Bello")</f>
        <v>23</v>
      </c>
      <c r="E15" s="42" t="s">
        <v>1031</v>
      </c>
      <c r="F15" s="76">
        <v>20624150</v>
      </c>
    </row>
    <row r="16" spans="1:19" x14ac:dyDescent="0.3">
      <c r="A16" s="38" t="s">
        <v>154</v>
      </c>
      <c r="B16">
        <f>COUNTIFS(Table1[Status],"Completed",Table1[Sales Rep],"Kemi Adebayo")</f>
        <v>24</v>
      </c>
      <c r="E16" s="42" t="s">
        <v>1032</v>
      </c>
      <c r="F16" s="76">
        <v>53819600</v>
      </c>
    </row>
    <row r="17" spans="1:6" x14ac:dyDescent="0.3">
      <c r="A17" s="38" t="s">
        <v>65</v>
      </c>
      <c r="B17">
        <f>COUNTIFS(Table1[Status],"Completed",Table1[Sales Rep],"Chukwudi Eze")</f>
        <v>22</v>
      </c>
      <c r="E17" s="42" t="s">
        <v>1033</v>
      </c>
      <c r="F17" s="76">
        <v>37960500</v>
      </c>
    </row>
    <row r="18" spans="1:6" x14ac:dyDescent="0.3">
      <c r="E18" s="42" t="s">
        <v>1005</v>
      </c>
      <c r="F18" s="76">
        <v>19575650</v>
      </c>
    </row>
    <row r="19" spans="1:6" x14ac:dyDescent="0.3">
      <c r="A19" s="40" t="s">
        <v>991</v>
      </c>
      <c r="E19" s="42" t="s">
        <v>1034</v>
      </c>
      <c r="F19" s="76">
        <v>40644250</v>
      </c>
    </row>
    <row r="20" spans="1:6" x14ac:dyDescent="0.3">
      <c r="A20" s="35">
        <f>AVERAGEIFS(Table1[Unit Price Clean],Table1[Category],"Accessories",Table1[Region],"North")</f>
        <v>24847.457627118645</v>
      </c>
      <c r="E20" s="42" t="s">
        <v>1035</v>
      </c>
      <c r="F20" s="76">
        <v>34914400</v>
      </c>
    </row>
    <row r="21" spans="1:6" x14ac:dyDescent="0.3">
      <c r="E21" s="42" t="s">
        <v>1036</v>
      </c>
      <c r="F21" s="76">
        <v>46695850</v>
      </c>
    </row>
    <row r="22" spans="1:6" x14ac:dyDescent="0.3">
      <c r="A22" s="37" t="s">
        <v>992</v>
      </c>
      <c r="E22" s="42" t="s">
        <v>1037</v>
      </c>
      <c r="F22" s="76">
        <v>35852750</v>
      </c>
    </row>
    <row r="23" spans="1:6" x14ac:dyDescent="0.3">
      <c r="A23" s="35">
        <f>AVERAGE(Table1[Discount])</f>
        <v>139738.75878220142</v>
      </c>
      <c r="E23" s="42" t="s">
        <v>1038</v>
      </c>
      <c r="F23" s="76">
        <v>54232000</v>
      </c>
    </row>
    <row r="24" spans="1:6" x14ac:dyDescent="0.3">
      <c r="E24" s="42" t="s">
        <v>1039</v>
      </c>
      <c r="F24" s="76">
        <v>28664000</v>
      </c>
    </row>
    <row r="25" spans="1:6" x14ac:dyDescent="0.3">
      <c r="A25" s="37" t="s">
        <v>993</v>
      </c>
      <c r="E25" s="42" t="s">
        <v>1040</v>
      </c>
      <c r="F25" s="76">
        <v>40283350</v>
      </c>
    </row>
    <row r="26" spans="1:6" x14ac:dyDescent="0.3">
      <c r="A26" s="35">
        <f>LARGE(Table1[Net Revenue],5)</f>
        <v>8550000</v>
      </c>
      <c r="E26" s="42" t="s">
        <v>996</v>
      </c>
      <c r="F26" s="76">
        <v>462902300</v>
      </c>
    </row>
    <row r="27" spans="1:6" x14ac:dyDescent="0.3">
      <c r="F27" s="67"/>
    </row>
    <row r="28" spans="1:6" x14ac:dyDescent="0.3">
      <c r="A28" s="37" t="s">
        <v>994</v>
      </c>
      <c r="E28" s="37" t="s">
        <v>1016</v>
      </c>
      <c r="F28" s="67"/>
    </row>
    <row r="29" spans="1:6" x14ac:dyDescent="0.3">
      <c r="A29" s="35">
        <f>SMALL(Table1[Net Revenue],5)</f>
        <v>22400</v>
      </c>
      <c r="E29" s="41" t="s">
        <v>995</v>
      </c>
      <c r="F29" s="67" t="s">
        <v>1023</v>
      </c>
    </row>
    <row r="30" spans="1:6" x14ac:dyDescent="0.3">
      <c r="E30" s="42" t="s">
        <v>43</v>
      </c>
      <c r="F30" s="78">
        <v>99967000</v>
      </c>
    </row>
    <row r="31" spans="1:6" x14ac:dyDescent="0.3">
      <c r="E31" s="42" t="s">
        <v>66</v>
      </c>
      <c r="F31" s="78">
        <v>202267050</v>
      </c>
    </row>
    <row r="32" spans="1:6" x14ac:dyDescent="0.3">
      <c r="E32" s="42" t="s">
        <v>71</v>
      </c>
      <c r="F32" s="78">
        <v>156840250</v>
      </c>
    </row>
    <row r="34" spans="5:6" x14ac:dyDescent="0.3">
      <c r="F34" s="67"/>
    </row>
    <row r="35" spans="5:6" x14ac:dyDescent="0.3">
      <c r="F35" s="67"/>
    </row>
    <row r="36" spans="5:6" x14ac:dyDescent="0.3">
      <c r="E36" s="37" t="s">
        <v>1017</v>
      </c>
      <c r="F36" s="67"/>
    </row>
    <row r="37" spans="5:6" x14ac:dyDescent="0.3">
      <c r="E37" s="41" t="s">
        <v>995</v>
      </c>
      <c r="F37" s="67" t="s">
        <v>1023</v>
      </c>
    </row>
    <row r="38" spans="5:6" x14ac:dyDescent="0.3">
      <c r="E38" s="42" t="s">
        <v>48</v>
      </c>
      <c r="F38" s="78">
        <v>43671400</v>
      </c>
    </row>
    <row r="39" spans="5:6" x14ac:dyDescent="0.3">
      <c r="E39" s="42" t="s">
        <v>141</v>
      </c>
      <c r="F39" s="78">
        <v>50752150</v>
      </c>
    </row>
    <row r="40" spans="5:6" x14ac:dyDescent="0.3">
      <c r="E40" s="42" t="s">
        <v>75</v>
      </c>
      <c r="F40" s="78">
        <v>52015100</v>
      </c>
    </row>
    <row r="41" spans="5:6" x14ac:dyDescent="0.3">
      <c r="E41" s="42" t="s">
        <v>81</v>
      </c>
      <c r="F41" s="78">
        <v>60132500</v>
      </c>
    </row>
    <row r="42" spans="5:6" x14ac:dyDescent="0.3">
      <c r="E42" s="42" t="s">
        <v>39</v>
      </c>
      <c r="F42" s="78">
        <v>63432700</v>
      </c>
    </row>
    <row r="44" spans="5:6" x14ac:dyDescent="0.3">
      <c r="E44" s="37" t="s">
        <v>1027</v>
      </c>
      <c r="F44" s="35"/>
    </row>
    <row r="45" spans="5:6" x14ac:dyDescent="0.3">
      <c r="E45" s="41" t="s">
        <v>995</v>
      </c>
      <c r="F45" s="35" t="s">
        <v>1024</v>
      </c>
    </row>
    <row r="46" spans="5:6" x14ac:dyDescent="0.3">
      <c r="E46" s="42" t="s">
        <v>86</v>
      </c>
      <c r="F46" s="80">
        <v>51</v>
      </c>
    </row>
    <row r="47" spans="5:6" x14ac:dyDescent="0.3">
      <c r="E47" s="42" t="s">
        <v>51</v>
      </c>
      <c r="F47" s="80">
        <v>259</v>
      </c>
    </row>
    <row r="48" spans="5:6" x14ac:dyDescent="0.3">
      <c r="E48" s="42" t="s">
        <v>44</v>
      </c>
      <c r="F48" s="80">
        <v>65</v>
      </c>
    </row>
    <row r="49" spans="5:6" x14ac:dyDescent="0.3">
      <c r="E49" s="42" t="s">
        <v>131</v>
      </c>
      <c r="F49" s="80">
        <v>49</v>
      </c>
    </row>
    <row r="50" spans="5:6" x14ac:dyDescent="0.3">
      <c r="E50" s="42" t="s">
        <v>996</v>
      </c>
      <c r="F50" s="80">
        <v>424</v>
      </c>
    </row>
    <row r="52" spans="5:6" x14ac:dyDescent="0.3">
      <c r="E52" s="37" t="s">
        <v>1028</v>
      </c>
    </row>
    <row r="53" spans="5:6" x14ac:dyDescent="0.3">
      <c r="E53" s="41" t="s">
        <v>995</v>
      </c>
      <c r="F53" s="35" t="s">
        <v>1023</v>
      </c>
    </row>
    <row r="54" spans="5:6" x14ac:dyDescent="0.3">
      <c r="E54" s="42" t="s">
        <v>42</v>
      </c>
      <c r="F54" s="78">
        <v>27773800</v>
      </c>
    </row>
    <row r="55" spans="5:6" x14ac:dyDescent="0.3">
      <c r="E55" s="42" t="s">
        <v>77</v>
      </c>
      <c r="F55" s="78">
        <v>435128500</v>
      </c>
    </row>
    <row r="56" spans="5:6" x14ac:dyDescent="0.3">
      <c r="E56" s="42" t="s">
        <v>996</v>
      </c>
      <c r="F56" s="78">
        <v>462902300</v>
      </c>
    </row>
    <row r="60" spans="5:6" x14ac:dyDescent="0.3">
      <c r="E60" s="41" t="s">
        <v>995</v>
      </c>
      <c r="F60" t="s">
        <v>1026</v>
      </c>
    </row>
    <row r="61" spans="5:6" x14ac:dyDescent="0.3">
      <c r="E61" s="42" t="s">
        <v>99</v>
      </c>
      <c r="F61" s="81">
        <v>0.38297872340425532</v>
      </c>
    </row>
    <row r="62" spans="5:6" x14ac:dyDescent="0.3">
      <c r="E62" s="42" t="s">
        <v>50</v>
      </c>
      <c r="F62" s="81">
        <v>0.29411764705882354</v>
      </c>
    </row>
    <row r="63" spans="5:6" x14ac:dyDescent="0.3">
      <c r="E63" s="42" t="s">
        <v>82</v>
      </c>
      <c r="F63" s="81">
        <v>0.24615384615384617</v>
      </c>
    </row>
    <row r="64" spans="5:6" x14ac:dyDescent="0.3">
      <c r="E64" s="42" t="s">
        <v>92</v>
      </c>
      <c r="F64" s="81">
        <v>0.2441860465116279</v>
      </c>
    </row>
    <row r="65" spans="5:6" x14ac:dyDescent="0.3">
      <c r="E65" s="42" t="s">
        <v>76</v>
      </c>
      <c r="F65" s="81">
        <v>0.19607843137254902</v>
      </c>
    </row>
    <row r="66" spans="5:6" x14ac:dyDescent="0.3">
      <c r="E66" s="42" t="s">
        <v>57</v>
      </c>
      <c r="F66" s="81">
        <v>0.18181818181818182</v>
      </c>
    </row>
    <row r="67" spans="5:6" x14ac:dyDescent="0.3">
      <c r="E67" s="42" t="s">
        <v>61</v>
      </c>
      <c r="F67" s="81">
        <v>0.15217391304347827</v>
      </c>
    </row>
    <row r="68" spans="5:6" x14ac:dyDescent="0.3">
      <c r="E68" s="42" t="s">
        <v>41</v>
      </c>
      <c r="F68" s="81">
        <v>0.1388888888888889</v>
      </c>
    </row>
    <row r="69" spans="5:6" x14ac:dyDescent="0.3">
      <c r="E69" s="42" t="s">
        <v>996</v>
      </c>
      <c r="F69" s="81">
        <v>0.23474178403755869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EF13-6F86-43B6-8568-0DE31F157FA1}">
  <dimension ref="A2:F45"/>
  <sheetViews>
    <sheetView topLeftCell="A19" workbookViewId="0">
      <selection activeCell="G27" sqref="G27"/>
    </sheetView>
  </sheetViews>
  <sheetFormatPr defaultRowHeight="14.4" x14ac:dyDescent="0.3"/>
  <cols>
    <col min="1" max="1" width="29.6640625" bestFit="1" customWidth="1"/>
    <col min="2" max="2" width="15.88671875" bestFit="1" customWidth="1"/>
    <col min="3" max="3" width="20.88671875" bestFit="1" customWidth="1"/>
    <col min="4" max="4" width="12.44140625" bestFit="1" customWidth="1"/>
    <col min="5" max="5" width="11.44140625" bestFit="1" customWidth="1"/>
    <col min="6" max="7" width="12.44140625" bestFit="1" customWidth="1"/>
    <col min="8" max="12" width="15.5546875" bestFit="1" customWidth="1"/>
    <col min="13" max="13" width="10.77734375" bestFit="1" customWidth="1"/>
    <col min="14" max="426" width="10.33203125" bestFit="1" customWidth="1"/>
    <col min="427" max="427" width="10.77734375" bestFit="1" customWidth="1"/>
  </cols>
  <sheetData>
    <row r="2" spans="1:6" x14ac:dyDescent="0.3">
      <c r="A2" s="37" t="s">
        <v>998</v>
      </c>
    </row>
    <row r="3" spans="1:6" x14ac:dyDescent="0.3">
      <c r="A3" s="41" t="s">
        <v>1023</v>
      </c>
      <c r="B3" s="41" t="s">
        <v>997</v>
      </c>
    </row>
    <row r="4" spans="1:6" x14ac:dyDescent="0.3">
      <c r="A4" s="41" t="s">
        <v>995</v>
      </c>
      <c r="B4" t="s">
        <v>40</v>
      </c>
      <c r="C4" t="s">
        <v>49</v>
      </c>
      <c r="D4" t="s">
        <v>70</v>
      </c>
      <c r="E4" t="s">
        <v>56</v>
      </c>
      <c r="F4" t="s">
        <v>996</v>
      </c>
    </row>
    <row r="5" spans="1:6" x14ac:dyDescent="0.3">
      <c r="A5" s="42" t="s">
        <v>141</v>
      </c>
      <c r="B5" s="35">
        <v>14885600</v>
      </c>
      <c r="C5" s="35">
        <v>13800650</v>
      </c>
      <c r="D5" s="35">
        <v>13880400</v>
      </c>
      <c r="E5" s="35">
        <v>8185500</v>
      </c>
      <c r="F5" s="35">
        <v>50752150</v>
      </c>
    </row>
    <row r="6" spans="1:6" x14ac:dyDescent="0.3">
      <c r="A6" s="42" t="s">
        <v>65</v>
      </c>
      <c r="B6" s="35">
        <v>14858600</v>
      </c>
      <c r="C6" s="35">
        <v>3647300</v>
      </c>
      <c r="D6" s="35">
        <v>4613600</v>
      </c>
      <c r="E6" s="35">
        <v>546000</v>
      </c>
      <c r="F6" s="35">
        <v>23665500</v>
      </c>
    </row>
    <row r="7" spans="1:6" x14ac:dyDescent="0.3">
      <c r="A7" s="42" t="s">
        <v>81</v>
      </c>
      <c r="B7" s="35">
        <v>20403000</v>
      </c>
      <c r="C7" s="35">
        <v>11418200</v>
      </c>
      <c r="D7" s="35">
        <v>10578500</v>
      </c>
      <c r="E7" s="35">
        <v>17732800</v>
      </c>
      <c r="F7" s="35">
        <v>60132500</v>
      </c>
    </row>
    <row r="8" spans="1:6" x14ac:dyDescent="0.3">
      <c r="A8" s="42" t="s">
        <v>48</v>
      </c>
      <c r="B8" s="35">
        <v>16973750</v>
      </c>
      <c r="C8" s="35">
        <v>17167700</v>
      </c>
      <c r="D8" s="35">
        <v>6720950</v>
      </c>
      <c r="E8" s="35">
        <v>2809000</v>
      </c>
      <c r="F8" s="35">
        <v>43671400</v>
      </c>
    </row>
    <row r="9" spans="1:6" x14ac:dyDescent="0.3">
      <c r="A9" s="42" t="s">
        <v>109</v>
      </c>
      <c r="B9" s="35">
        <v>13409750</v>
      </c>
      <c r="C9" s="35">
        <v>25344400</v>
      </c>
      <c r="D9" s="35">
        <v>5352000</v>
      </c>
      <c r="E9" s="35">
        <v>1403200</v>
      </c>
      <c r="F9" s="35">
        <v>45509350</v>
      </c>
    </row>
    <row r="10" spans="1:6" x14ac:dyDescent="0.3">
      <c r="A10" s="42" t="s">
        <v>55</v>
      </c>
      <c r="B10" s="35">
        <v>5470600</v>
      </c>
      <c r="C10" s="35">
        <v>13855750</v>
      </c>
      <c r="D10" s="35">
        <v>9576000</v>
      </c>
      <c r="E10" s="35">
        <v>7164000</v>
      </c>
      <c r="F10" s="35">
        <v>36066350</v>
      </c>
    </row>
    <row r="11" spans="1:6" x14ac:dyDescent="0.3">
      <c r="A11" s="42" t="s">
        <v>154</v>
      </c>
      <c r="B11" s="35">
        <v>28076000</v>
      </c>
      <c r="C11" s="35">
        <v>15844500</v>
      </c>
      <c r="D11" s="35">
        <v>11539400</v>
      </c>
      <c r="E11" s="35">
        <v>89600</v>
      </c>
      <c r="F11" s="35">
        <v>55549500</v>
      </c>
    </row>
    <row r="12" spans="1:6" x14ac:dyDescent="0.3">
      <c r="A12" s="42" t="s">
        <v>981</v>
      </c>
      <c r="B12" s="35"/>
      <c r="C12" s="35">
        <v>324000</v>
      </c>
      <c r="D12" s="35">
        <v>2907000</v>
      </c>
      <c r="E12" s="35">
        <v>3060000</v>
      </c>
      <c r="F12" s="35">
        <v>6291000</v>
      </c>
    </row>
    <row r="13" spans="1:6" x14ac:dyDescent="0.3">
      <c r="A13" s="42" t="s">
        <v>75</v>
      </c>
      <c r="B13" s="35">
        <v>12344500</v>
      </c>
      <c r="C13" s="35">
        <v>18571100</v>
      </c>
      <c r="D13" s="35">
        <v>5945900</v>
      </c>
      <c r="E13" s="35">
        <v>15153600</v>
      </c>
      <c r="F13" s="35">
        <v>52015100</v>
      </c>
    </row>
    <row r="14" spans="1:6" x14ac:dyDescent="0.3">
      <c r="A14" s="42" t="s">
        <v>118</v>
      </c>
      <c r="B14" s="35">
        <v>3571900</v>
      </c>
      <c r="C14" s="35">
        <v>14793450</v>
      </c>
      <c r="D14" s="35">
        <v>920400</v>
      </c>
      <c r="E14" s="35">
        <v>6531000</v>
      </c>
      <c r="F14" s="35">
        <v>25816750</v>
      </c>
    </row>
    <row r="15" spans="1:6" x14ac:dyDescent="0.3">
      <c r="A15" s="42" t="s">
        <v>39</v>
      </c>
      <c r="B15" s="35">
        <v>23962500</v>
      </c>
      <c r="C15" s="35">
        <v>11950700</v>
      </c>
      <c r="D15" s="35">
        <v>26859500</v>
      </c>
      <c r="E15" s="35">
        <v>660000</v>
      </c>
      <c r="F15" s="35">
        <v>63432700</v>
      </c>
    </row>
    <row r="16" spans="1:6" x14ac:dyDescent="0.3">
      <c r="A16" s="42" t="s">
        <v>996</v>
      </c>
      <c r="B16" s="35">
        <v>153956200</v>
      </c>
      <c r="C16" s="35">
        <v>146717750</v>
      </c>
      <c r="D16" s="35">
        <v>98893650</v>
      </c>
      <c r="E16" s="35">
        <v>63334700</v>
      </c>
      <c r="F16" s="35">
        <v>462902300</v>
      </c>
    </row>
    <row r="18" spans="1:6" x14ac:dyDescent="0.3">
      <c r="A18" s="37" t="s">
        <v>1000</v>
      </c>
    </row>
    <row r="19" spans="1:6" x14ac:dyDescent="0.3">
      <c r="A19" s="41" t="s">
        <v>995</v>
      </c>
      <c r="B19" t="s">
        <v>999</v>
      </c>
      <c r="C19" t="s">
        <v>1022</v>
      </c>
      <c r="D19" t="s">
        <v>1042</v>
      </c>
    </row>
    <row r="20" spans="1:6" x14ac:dyDescent="0.3">
      <c r="A20" s="42" t="s">
        <v>57</v>
      </c>
      <c r="B20" s="75">
        <v>44</v>
      </c>
      <c r="C20" s="35">
        <v>1232000</v>
      </c>
      <c r="D20" s="75">
        <v>310</v>
      </c>
    </row>
    <row r="21" spans="1:6" x14ac:dyDescent="0.3">
      <c r="A21" s="42" t="s">
        <v>92</v>
      </c>
      <c r="B21" s="75">
        <v>86</v>
      </c>
      <c r="C21" s="35">
        <v>38700000</v>
      </c>
      <c r="D21" s="75">
        <v>628</v>
      </c>
    </row>
    <row r="22" spans="1:6" x14ac:dyDescent="0.3">
      <c r="A22" s="42" t="s">
        <v>99</v>
      </c>
      <c r="B22" s="75">
        <v>47</v>
      </c>
      <c r="C22" s="35">
        <v>4465000</v>
      </c>
      <c r="D22" s="75">
        <v>243</v>
      </c>
    </row>
    <row r="23" spans="1:6" x14ac:dyDescent="0.3">
      <c r="A23" s="42" t="s">
        <v>50</v>
      </c>
      <c r="B23" s="75">
        <v>51</v>
      </c>
      <c r="C23" s="35">
        <v>918000</v>
      </c>
      <c r="D23" s="75">
        <v>286</v>
      </c>
    </row>
    <row r="24" spans="1:6" x14ac:dyDescent="0.3">
      <c r="A24" s="42" t="s">
        <v>82</v>
      </c>
      <c r="B24" s="75">
        <v>65</v>
      </c>
      <c r="C24" s="35">
        <v>14300000</v>
      </c>
      <c r="D24" s="75">
        <v>426</v>
      </c>
    </row>
    <row r="25" spans="1:6" x14ac:dyDescent="0.3">
      <c r="A25" s="42" t="s">
        <v>76</v>
      </c>
      <c r="B25" s="75">
        <v>51</v>
      </c>
      <c r="C25" s="35">
        <v>9180000</v>
      </c>
      <c r="D25" s="75">
        <v>385</v>
      </c>
    </row>
    <row r="26" spans="1:6" x14ac:dyDescent="0.3">
      <c r="A26" s="42" t="s">
        <v>61</v>
      </c>
      <c r="B26" s="75">
        <v>46</v>
      </c>
      <c r="C26" s="35">
        <v>1012000</v>
      </c>
      <c r="D26" s="75">
        <v>340</v>
      </c>
    </row>
    <row r="27" spans="1:6" x14ac:dyDescent="0.3">
      <c r="A27" s="42" t="s">
        <v>41</v>
      </c>
      <c r="B27" s="75">
        <v>36</v>
      </c>
      <c r="C27" s="35">
        <v>1260000</v>
      </c>
      <c r="D27" s="75">
        <v>249</v>
      </c>
    </row>
    <row r="28" spans="1:6" x14ac:dyDescent="0.3">
      <c r="A28" s="42" t="s">
        <v>996</v>
      </c>
      <c r="B28" s="75">
        <v>426</v>
      </c>
      <c r="C28" s="35">
        <v>71067000</v>
      </c>
      <c r="D28" s="75">
        <v>2867</v>
      </c>
    </row>
    <row r="30" spans="1:6" x14ac:dyDescent="0.3">
      <c r="A30" s="37" t="s">
        <v>1013</v>
      </c>
    </row>
    <row r="31" spans="1:6" x14ac:dyDescent="0.3">
      <c r="A31" s="41" t="s">
        <v>1023</v>
      </c>
      <c r="B31" s="41" t="s">
        <v>997</v>
      </c>
    </row>
    <row r="32" spans="1:6" x14ac:dyDescent="0.3">
      <c r="A32" s="41" t="s">
        <v>995</v>
      </c>
      <c r="B32" t="s">
        <v>43</v>
      </c>
      <c r="C32" t="s">
        <v>66</v>
      </c>
      <c r="D32" t="s">
        <v>71</v>
      </c>
      <c r="E32" t="s">
        <v>981</v>
      </c>
      <c r="F32" t="s">
        <v>996</v>
      </c>
    </row>
    <row r="33" spans="1:6" x14ac:dyDescent="0.3">
      <c r="A33" s="42" t="s">
        <v>1001</v>
      </c>
      <c r="B33" s="74">
        <v>8653200</v>
      </c>
      <c r="C33" s="74">
        <v>16532100</v>
      </c>
      <c r="D33" s="74">
        <v>24450500</v>
      </c>
      <c r="E33" s="74"/>
      <c r="F33" s="74">
        <v>49635800</v>
      </c>
    </row>
    <row r="34" spans="1:6" x14ac:dyDescent="0.3">
      <c r="A34" s="42" t="s">
        <v>1002</v>
      </c>
      <c r="B34" s="74">
        <v>13359400</v>
      </c>
      <c r="C34" s="74">
        <v>5095750</v>
      </c>
      <c r="D34" s="74">
        <v>2169000</v>
      </c>
      <c r="E34" s="74"/>
      <c r="F34" s="74">
        <v>20624150</v>
      </c>
    </row>
    <row r="35" spans="1:6" x14ac:dyDescent="0.3">
      <c r="A35" s="42" t="s">
        <v>1003</v>
      </c>
      <c r="B35" s="74">
        <v>6368600</v>
      </c>
      <c r="C35" s="74">
        <v>28919750</v>
      </c>
      <c r="D35" s="74">
        <v>18531250</v>
      </c>
      <c r="E35" s="74"/>
      <c r="F35" s="74">
        <v>53819600</v>
      </c>
    </row>
    <row r="36" spans="1:6" x14ac:dyDescent="0.3">
      <c r="A36" s="42" t="s">
        <v>1004</v>
      </c>
      <c r="B36" s="74">
        <v>8246100</v>
      </c>
      <c r="C36" s="74">
        <v>19848000</v>
      </c>
      <c r="D36" s="74">
        <v>9866400</v>
      </c>
      <c r="E36" s="74"/>
      <c r="F36" s="74">
        <v>37960500</v>
      </c>
    </row>
    <row r="37" spans="1:6" x14ac:dyDescent="0.3">
      <c r="A37" s="42" t="s">
        <v>1005</v>
      </c>
      <c r="B37" s="74">
        <v>1829100</v>
      </c>
      <c r="C37" s="74">
        <v>5428500</v>
      </c>
      <c r="D37" s="74">
        <v>10338050</v>
      </c>
      <c r="E37" s="74">
        <v>1980000</v>
      </c>
      <c r="F37" s="74">
        <v>19575650</v>
      </c>
    </row>
    <row r="38" spans="1:6" x14ac:dyDescent="0.3">
      <c r="A38" s="42" t="s">
        <v>1006</v>
      </c>
      <c r="B38" s="74">
        <v>11848000</v>
      </c>
      <c r="C38" s="74">
        <v>17334250</v>
      </c>
      <c r="D38" s="74">
        <v>11462000</v>
      </c>
      <c r="E38" s="74"/>
      <c r="F38" s="74">
        <v>40644250</v>
      </c>
    </row>
    <row r="39" spans="1:6" x14ac:dyDescent="0.3">
      <c r="A39" s="42" t="s">
        <v>1007</v>
      </c>
      <c r="B39" s="74">
        <v>13660400</v>
      </c>
      <c r="C39" s="74">
        <v>14699000</v>
      </c>
      <c r="D39" s="74">
        <v>6467000</v>
      </c>
      <c r="E39" s="74">
        <v>88000</v>
      </c>
      <c r="F39" s="74">
        <v>34914400</v>
      </c>
    </row>
    <row r="40" spans="1:6" x14ac:dyDescent="0.3">
      <c r="A40" s="42" t="s">
        <v>1008</v>
      </c>
      <c r="B40" s="74">
        <v>11542100</v>
      </c>
      <c r="C40" s="74">
        <v>33716650</v>
      </c>
      <c r="D40" s="74">
        <v>1437100</v>
      </c>
      <c r="E40" s="74"/>
      <c r="F40" s="74">
        <v>46695850</v>
      </c>
    </row>
    <row r="41" spans="1:6" x14ac:dyDescent="0.3">
      <c r="A41" s="42" t="s">
        <v>1009</v>
      </c>
      <c r="B41" s="74">
        <v>4538400</v>
      </c>
      <c r="C41" s="74">
        <v>13445750</v>
      </c>
      <c r="D41" s="74">
        <v>17868600</v>
      </c>
      <c r="E41" s="74"/>
      <c r="F41" s="74">
        <v>35852750</v>
      </c>
    </row>
    <row r="42" spans="1:6" x14ac:dyDescent="0.3">
      <c r="A42" s="42" t="s">
        <v>1010</v>
      </c>
      <c r="B42" s="74">
        <v>5972000</v>
      </c>
      <c r="C42" s="74">
        <v>21199500</v>
      </c>
      <c r="D42" s="74">
        <v>27060500</v>
      </c>
      <c r="E42" s="74"/>
      <c r="F42" s="74">
        <v>54232000</v>
      </c>
    </row>
    <row r="43" spans="1:6" x14ac:dyDescent="0.3">
      <c r="A43" s="42" t="s">
        <v>1011</v>
      </c>
      <c r="B43" s="74">
        <v>4191500</v>
      </c>
      <c r="C43" s="74">
        <v>9371000</v>
      </c>
      <c r="D43" s="74">
        <v>13341500</v>
      </c>
      <c r="E43" s="74">
        <v>1760000</v>
      </c>
      <c r="F43" s="74">
        <v>28664000</v>
      </c>
    </row>
    <row r="44" spans="1:6" x14ac:dyDescent="0.3">
      <c r="A44" s="42" t="s">
        <v>1012</v>
      </c>
      <c r="B44" s="74">
        <v>9758200</v>
      </c>
      <c r="C44" s="74">
        <v>16676800</v>
      </c>
      <c r="D44" s="74">
        <v>13848350</v>
      </c>
      <c r="E44" s="74"/>
      <c r="F44" s="74">
        <v>40283350</v>
      </c>
    </row>
    <row r="45" spans="1:6" x14ac:dyDescent="0.3">
      <c r="A45" s="42" t="s">
        <v>996</v>
      </c>
      <c r="B45" s="74">
        <v>99967000</v>
      </c>
      <c r="C45" s="74">
        <v>202267050</v>
      </c>
      <c r="D45" s="74">
        <v>156840250</v>
      </c>
      <c r="E45" s="74">
        <v>3828000</v>
      </c>
      <c r="F45" s="74">
        <v>462902300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D3E67-00CB-4D11-813D-99B1A01662AA}">
  <dimension ref="A1:S428"/>
  <sheetViews>
    <sheetView topLeftCell="J1" zoomScale="117" workbookViewId="0">
      <selection activeCell="E432" sqref="E432"/>
    </sheetView>
  </sheetViews>
  <sheetFormatPr defaultRowHeight="14.4" x14ac:dyDescent="0.3"/>
  <cols>
    <col min="1" max="1" width="10.33203125" bestFit="1" customWidth="1"/>
    <col min="2" max="2" width="12.44140625" style="24" bestFit="1" customWidth="1"/>
    <col min="3" max="3" width="14" bestFit="1" customWidth="1"/>
    <col min="4" max="4" width="12.33203125" bestFit="1" customWidth="1"/>
    <col min="5" max="5" width="9.21875" bestFit="1" customWidth="1"/>
    <col min="6" max="6" width="14.44140625" bestFit="1" customWidth="1"/>
    <col min="7" max="7" width="10.88671875" bestFit="1" customWidth="1"/>
    <col min="8" max="8" width="10.44140625" bestFit="1" customWidth="1"/>
    <col min="9" max="9" width="10.6640625" style="25" bestFit="1" customWidth="1"/>
    <col min="10" max="10" width="14.109375" style="26" bestFit="1" customWidth="1"/>
    <col min="11" max="11" width="17" style="26" bestFit="1" customWidth="1"/>
    <col min="12" max="12" width="16" bestFit="1" customWidth="1"/>
    <col min="13" max="13" width="13.44140625" bestFit="1" customWidth="1"/>
    <col min="14" max="14" width="11.109375" bestFit="1" customWidth="1"/>
    <col min="15" max="15" width="16.5546875" customWidth="1"/>
    <col min="16" max="16" width="16" bestFit="1" customWidth="1"/>
    <col min="17" max="17" width="16.88671875" bestFit="1" customWidth="1"/>
    <col min="18" max="19" width="16.44140625" bestFit="1" customWidth="1"/>
  </cols>
  <sheetData>
    <row r="1" spans="1:19" x14ac:dyDescent="0.3">
      <c r="A1" s="29" t="s">
        <v>24</v>
      </c>
      <c r="B1" s="30" t="s">
        <v>25</v>
      </c>
      <c r="C1" s="31" t="s">
        <v>26</v>
      </c>
      <c r="D1" s="31" t="s">
        <v>27</v>
      </c>
      <c r="E1" s="31" t="s">
        <v>28</v>
      </c>
      <c r="F1" s="31" t="s">
        <v>29</v>
      </c>
      <c r="G1" s="31" t="s">
        <v>30</v>
      </c>
      <c r="H1" s="31" t="s">
        <v>31</v>
      </c>
      <c r="I1" s="32" t="s">
        <v>32</v>
      </c>
      <c r="J1" s="32" t="s">
        <v>33</v>
      </c>
      <c r="K1" s="32" t="s">
        <v>1021</v>
      </c>
      <c r="L1" s="32" t="s">
        <v>987</v>
      </c>
      <c r="M1" s="31" t="s">
        <v>34</v>
      </c>
      <c r="N1" s="31" t="s">
        <v>988</v>
      </c>
      <c r="O1" s="31" t="s">
        <v>989</v>
      </c>
      <c r="P1" s="31" t="s">
        <v>35</v>
      </c>
      <c r="Q1" s="33" t="s">
        <v>983</v>
      </c>
      <c r="R1" s="31" t="s">
        <v>984</v>
      </c>
      <c r="S1" s="31" t="s">
        <v>985</v>
      </c>
    </row>
    <row r="2" spans="1:19" x14ac:dyDescent="0.3">
      <c r="A2" s="44" t="s">
        <v>37</v>
      </c>
      <c r="B2" s="45">
        <v>45434</v>
      </c>
      <c r="C2" s="38" t="s">
        <v>38</v>
      </c>
      <c r="D2" s="38" t="s">
        <v>39</v>
      </c>
      <c r="E2" s="38" t="s">
        <v>40</v>
      </c>
      <c r="F2" s="38" t="s">
        <v>41</v>
      </c>
      <c r="G2" s="38" t="s">
        <v>42</v>
      </c>
      <c r="H2" s="38" t="s">
        <v>43</v>
      </c>
      <c r="I2" s="46">
        <v>7</v>
      </c>
      <c r="J2" s="47">
        <v>35000</v>
      </c>
      <c r="K2" s="47">
        <f t="shared" ref="K2:K11" si="0">J2</f>
        <v>35000</v>
      </c>
      <c r="L2" s="47">
        <f t="shared" ref="L2:L65" si="1">I2*K2</f>
        <v>245000</v>
      </c>
      <c r="M2" s="38">
        <v>10</v>
      </c>
      <c r="N2" s="47">
        <f t="shared" ref="N2:N65" si="2">M2/100 * L2</f>
        <v>24500</v>
      </c>
      <c r="O2" s="47">
        <f t="shared" ref="O2:O65" si="3">L2-N2</f>
        <v>220500</v>
      </c>
      <c r="P2" s="38" t="s">
        <v>44</v>
      </c>
      <c r="Q2" s="43" t="s">
        <v>41</v>
      </c>
      <c r="R2" s="27" t="s">
        <v>42</v>
      </c>
      <c r="S2" s="27" t="s">
        <v>43</v>
      </c>
    </row>
    <row r="3" spans="1:19" x14ac:dyDescent="0.3">
      <c r="A3" s="48" t="s">
        <v>46</v>
      </c>
      <c r="B3" s="49">
        <v>45464</v>
      </c>
      <c r="C3" s="39" t="s">
        <v>47</v>
      </c>
      <c r="D3" s="39" t="s">
        <v>48</v>
      </c>
      <c r="E3" s="39" t="s">
        <v>49</v>
      </c>
      <c r="F3" s="39" t="s">
        <v>50</v>
      </c>
      <c r="G3" s="39" t="s">
        <v>42</v>
      </c>
      <c r="H3" s="39" t="s">
        <v>43</v>
      </c>
      <c r="I3" s="50">
        <v>4</v>
      </c>
      <c r="J3" s="51">
        <v>18000</v>
      </c>
      <c r="K3" s="51">
        <f t="shared" si="0"/>
        <v>18000</v>
      </c>
      <c r="L3" s="51">
        <f t="shared" si="1"/>
        <v>72000</v>
      </c>
      <c r="M3" s="39">
        <v>0</v>
      </c>
      <c r="N3" s="51">
        <f t="shared" si="2"/>
        <v>0</v>
      </c>
      <c r="O3" s="51">
        <f t="shared" si="3"/>
        <v>72000</v>
      </c>
      <c r="P3" s="39" t="s">
        <v>51</v>
      </c>
      <c r="Q3" s="52" t="s">
        <v>50</v>
      </c>
      <c r="R3" s="27" t="s">
        <v>42</v>
      </c>
      <c r="S3" s="27" t="s">
        <v>43</v>
      </c>
    </row>
    <row r="4" spans="1:19" x14ac:dyDescent="0.3">
      <c r="A4" s="44" t="s">
        <v>53</v>
      </c>
      <c r="B4" s="45">
        <v>45513</v>
      </c>
      <c r="C4" s="38" t="s">
        <v>54</v>
      </c>
      <c r="D4" s="38" t="s">
        <v>55</v>
      </c>
      <c r="E4" s="38" t="s">
        <v>56</v>
      </c>
      <c r="F4" s="38" t="s">
        <v>57</v>
      </c>
      <c r="G4" s="38" t="s">
        <v>42</v>
      </c>
      <c r="H4" s="38" t="s">
        <v>43</v>
      </c>
      <c r="I4" s="46">
        <v>2</v>
      </c>
      <c r="J4" s="47">
        <v>28000</v>
      </c>
      <c r="K4" s="47">
        <f t="shared" si="0"/>
        <v>28000</v>
      </c>
      <c r="L4" s="47">
        <f t="shared" si="1"/>
        <v>56000</v>
      </c>
      <c r="M4" s="38">
        <v>15</v>
      </c>
      <c r="N4" s="47">
        <f t="shared" si="2"/>
        <v>8400</v>
      </c>
      <c r="O4" s="47">
        <f t="shared" si="3"/>
        <v>47600</v>
      </c>
      <c r="P4" s="38" t="s">
        <v>44</v>
      </c>
      <c r="Q4" s="43" t="s">
        <v>57</v>
      </c>
      <c r="R4" s="27" t="s">
        <v>42</v>
      </c>
      <c r="S4" s="27" t="s">
        <v>43</v>
      </c>
    </row>
    <row r="5" spans="1:19" x14ac:dyDescent="0.3">
      <c r="A5" s="48" t="s">
        <v>59</v>
      </c>
      <c r="B5" s="49">
        <v>45573</v>
      </c>
      <c r="C5" s="39" t="s">
        <v>60</v>
      </c>
      <c r="D5" s="39" t="s">
        <v>48</v>
      </c>
      <c r="E5" s="39" t="s">
        <v>56</v>
      </c>
      <c r="F5" s="39" t="s">
        <v>61</v>
      </c>
      <c r="G5" s="39" t="s">
        <v>42</v>
      </c>
      <c r="H5" s="39" t="s">
        <v>43</v>
      </c>
      <c r="I5" s="50">
        <v>1</v>
      </c>
      <c r="J5" s="51">
        <v>22000</v>
      </c>
      <c r="K5" s="51">
        <f t="shared" si="0"/>
        <v>22000</v>
      </c>
      <c r="L5" s="51">
        <f t="shared" si="1"/>
        <v>22000</v>
      </c>
      <c r="M5" s="39">
        <v>0</v>
      </c>
      <c r="N5" s="51">
        <f t="shared" si="2"/>
        <v>0</v>
      </c>
      <c r="O5" s="51">
        <f t="shared" si="3"/>
        <v>22000</v>
      </c>
      <c r="P5" s="39" t="s">
        <v>51</v>
      </c>
      <c r="Q5" s="52" t="s">
        <v>61</v>
      </c>
      <c r="R5" s="27" t="s">
        <v>42</v>
      </c>
      <c r="S5" s="27" t="s">
        <v>43</v>
      </c>
    </row>
    <row r="6" spans="1:19" x14ac:dyDescent="0.3">
      <c r="A6" s="44" t="s">
        <v>63</v>
      </c>
      <c r="B6" s="45">
        <v>45492</v>
      </c>
      <c r="C6" s="38" t="s">
        <v>64</v>
      </c>
      <c r="D6" s="38" t="s">
        <v>65</v>
      </c>
      <c r="E6" s="38" t="s">
        <v>49</v>
      </c>
      <c r="F6" s="38" t="s">
        <v>57</v>
      </c>
      <c r="G6" s="38" t="s">
        <v>42</v>
      </c>
      <c r="H6" s="38" t="s">
        <v>66</v>
      </c>
      <c r="I6" s="46">
        <v>6</v>
      </c>
      <c r="J6" s="47">
        <v>28000</v>
      </c>
      <c r="K6" s="47">
        <f t="shared" si="0"/>
        <v>28000</v>
      </c>
      <c r="L6" s="47">
        <f t="shared" si="1"/>
        <v>168000</v>
      </c>
      <c r="M6" s="38">
        <v>0</v>
      </c>
      <c r="N6" s="47">
        <f t="shared" si="2"/>
        <v>0</v>
      </c>
      <c r="O6" s="47">
        <f t="shared" si="3"/>
        <v>168000</v>
      </c>
      <c r="P6" s="38" t="s">
        <v>51</v>
      </c>
      <c r="Q6" s="43" t="s">
        <v>57</v>
      </c>
      <c r="R6" s="27" t="s">
        <v>42</v>
      </c>
      <c r="S6" s="27" t="s">
        <v>66</v>
      </c>
    </row>
    <row r="7" spans="1:19" x14ac:dyDescent="0.3">
      <c r="A7" s="48" t="s">
        <v>68</v>
      </c>
      <c r="B7" s="49">
        <v>45604</v>
      </c>
      <c r="C7" s="39" t="s">
        <v>69</v>
      </c>
      <c r="D7" s="39" t="s">
        <v>48</v>
      </c>
      <c r="E7" s="39" t="s">
        <v>70</v>
      </c>
      <c r="F7" s="39" t="s">
        <v>50</v>
      </c>
      <c r="G7" s="39" t="s">
        <v>42</v>
      </c>
      <c r="H7" s="39" t="s">
        <v>71</v>
      </c>
      <c r="I7" s="50">
        <v>4</v>
      </c>
      <c r="J7" s="51">
        <v>18000</v>
      </c>
      <c r="K7" s="51">
        <f t="shared" si="0"/>
        <v>18000</v>
      </c>
      <c r="L7" s="51">
        <f t="shared" si="1"/>
        <v>72000</v>
      </c>
      <c r="M7" s="39">
        <v>20</v>
      </c>
      <c r="N7" s="51">
        <f t="shared" si="2"/>
        <v>14400</v>
      </c>
      <c r="O7" s="51">
        <f t="shared" si="3"/>
        <v>57600</v>
      </c>
      <c r="P7" s="39" t="s">
        <v>51</v>
      </c>
      <c r="Q7" s="52" t="s">
        <v>50</v>
      </c>
      <c r="R7" s="27" t="s">
        <v>42</v>
      </c>
      <c r="S7" s="27" t="s">
        <v>71</v>
      </c>
    </row>
    <row r="8" spans="1:19" x14ac:dyDescent="0.3">
      <c r="A8" s="44" t="s">
        <v>73</v>
      </c>
      <c r="B8" s="45">
        <v>45488</v>
      </c>
      <c r="C8" s="38" t="s">
        <v>74</v>
      </c>
      <c r="D8" s="38" t="s">
        <v>75</v>
      </c>
      <c r="E8" s="38" t="s">
        <v>49</v>
      </c>
      <c r="F8" s="38" t="s">
        <v>76</v>
      </c>
      <c r="G8" s="38" t="s">
        <v>77</v>
      </c>
      <c r="H8" s="38" t="s">
        <v>66</v>
      </c>
      <c r="I8" s="46">
        <v>11</v>
      </c>
      <c r="J8" s="47">
        <v>180000</v>
      </c>
      <c r="K8" s="47">
        <f t="shared" si="0"/>
        <v>180000</v>
      </c>
      <c r="L8" s="47">
        <f t="shared" si="1"/>
        <v>1980000</v>
      </c>
      <c r="M8" s="38">
        <v>10</v>
      </c>
      <c r="N8" s="47">
        <f t="shared" si="2"/>
        <v>198000</v>
      </c>
      <c r="O8" s="47">
        <f t="shared" si="3"/>
        <v>1782000</v>
      </c>
      <c r="P8" s="38" t="s">
        <v>51</v>
      </c>
      <c r="Q8" s="43" t="s">
        <v>76</v>
      </c>
      <c r="R8" s="27" t="s">
        <v>77</v>
      </c>
      <c r="S8" s="27" t="s">
        <v>66</v>
      </c>
    </row>
    <row r="9" spans="1:19" x14ac:dyDescent="0.3">
      <c r="A9" s="48" t="s">
        <v>79</v>
      </c>
      <c r="B9" s="49">
        <v>45547</v>
      </c>
      <c r="C9" s="39" t="s">
        <v>80</v>
      </c>
      <c r="D9" s="39" t="s">
        <v>81</v>
      </c>
      <c r="E9" s="39" t="s">
        <v>40</v>
      </c>
      <c r="F9" s="39" t="s">
        <v>82</v>
      </c>
      <c r="G9" s="39" t="s">
        <v>77</v>
      </c>
      <c r="H9" s="39" t="s">
        <v>71</v>
      </c>
      <c r="I9" s="50">
        <v>7</v>
      </c>
      <c r="J9" s="51">
        <v>220000</v>
      </c>
      <c r="K9" s="51">
        <f t="shared" si="0"/>
        <v>220000</v>
      </c>
      <c r="L9" s="51">
        <f t="shared" si="1"/>
        <v>1540000</v>
      </c>
      <c r="M9" s="39">
        <v>0</v>
      </c>
      <c r="N9" s="51">
        <f t="shared" si="2"/>
        <v>0</v>
      </c>
      <c r="O9" s="51">
        <f t="shared" si="3"/>
        <v>1540000</v>
      </c>
      <c r="P9" s="39" t="s">
        <v>51</v>
      </c>
      <c r="Q9" s="52" t="s">
        <v>82</v>
      </c>
      <c r="R9" s="27" t="s">
        <v>77</v>
      </c>
      <c r="S9" s="27" t="s">
        <v>71</v>
      </c>
    </row>
    <row r="10" spans="1:19" x14ac:dyDescent="0.3">
      <c r="A10" s="44" t="s">
        <v>84</v>
      </c>
      <c r="B10" s="45">
        <v>45478</v>
      </c>
      <c r="C10" s="38" t="s">
        <v>85</v>
      </c>
      <c r="D10" s="38" t="s">
        <v>48</v>
      </c>
      <c r="E10" s="38" t="s">
        <v>40</v>
      </c>
      <c r="F10" s="38" t="s">
        <v>61</v>
      </c>
      <c r="G10" s="38" t="s">
        <v>42</v>
      </c>
      <c r="H10" s="38" t="s">
        <v>66</v>
      </c>
      <c r="I10" s="46">
        <v>8</v>
      </c>
      <c r="J10" s="47">
        <v>22000</v>
      </c>
      <c r="K10" s="47">
        <f t="shared" si="0"/>
        <v>22000</v>
      </c>
      <c r="L10" s="47">
        <f t="shared" si="1"/>
        <v>176000</v>
      </c>
      <c r="M10" s="38">
        <v>0</v>
      </c>
      <c r="N10" s="47">
        <f t="shared" si="2"/>
        <v>0</v>
      </c>
      <c r="O10" s="47">
        <f t="shared" si="3"/>
        <v>176000</v>
      </c>
      <c r="P10" s="38" t="s">
        <v>86</v>
      </c>
      <c r="Q10" s="43" t="s">
        <v>61</v>
      </c>
      <c r="R10" s="27" t="s">
        <v>42</v>
      </c>
      <c r="S10" s="27" t="s">
        <v>66</v>
      </c>
    </row>
    <row r="11" spans="1:19" x14ac:dyDescent="0.3">
      <c r="A11" s="48" t="s">
        <v>88</v>
      </c>
      <c r="B11" s="49">
        <v>45491</v>
      </c>
      <c r="C11" s="39" t="s">
        <v>89</v>
      </c>
      <c r="D11" s="39" t="s">
        <v>981</v>
      </c>
      <c r="E11" s="39" t="s">
        <v>981</v>
      </c>
      <c r="F11" s="39" t="s">
        <v>76</v>
      </c>
      <c r="G11" s="39" t="s">
        <v>77</v>
      </c>
      <c r="H11" s="39" t="s">
        <v>66</v>
      </c>
      <c r="I11" s="50">
        <v>10</v>
      </c>
      <c r="J11" s="51">
        <v>180000</v>
      </c>
      <c r="K11" s="51">
        <f t="shared" si="0"/>
        <v>180000</v>
      </c>
      <c r="L11" s="51">
        <f t="shared" si="1"/>
        <v>1800000</v>
      </c>
      <c r="M11" s="39">
        <v>5</v>
      </c>
      <c r="N11" s="51">
        <f t="shared" si="2"/>
        <v>90000</v>
      </c>
      <c r="O11" s="51">
        <f t="shared" si="3"/>
        <v>1710000</v>
      </c>
      <c r="P11" s="39" t="s">
        <v>44</v>
      </c>
      <c r="Q11" s="52" t="s">
        <v>76</v>
      </c>
      <c r="R11" s="27" t="s">
        <v>77</v>
      </c>
      <c r="S11" s="27" t="s">
        <v>66</v>
      </c>
    </row>
    <row r="12" spans="1:19" x14ac:dyDescent="0.3">
      <c r="A12" s="44" t="s">
        <v>90</v>
      </c>
      <c r="B12" s="45">
        <v>45357</v>
      </c>
      <c r="C12" s="38" t="s">
        <v>91</v>
      </c>
      <c r="D12" s="38" t="s">
        <v>39</v>
      </c>
      <c r="E12" s="38" t="s">
        <v>49</v>
      </c>
      <c r="F12" s="38" t="s">
        <v>92</v>
      </c>
      <c r="G12" s="38" t="s">
        <v>77</v>
      </c>
      <c r="H12" s="38" t="s">
        <v>71</v>
      </c>
      <c r="I12" s="46">
        <v>19</v>
      </c>
      <c r="J12" s="47">
        <v>450000</v>
      </c>
      <c r="K12" s="47">
        <f t="shared" ref="K12:K43" si="4">J12</f>
        <v>450000</v>
      </c>
      <c r="L12" s="47">
        <f t="shared" si="1"/>
        <v>8550000</v>
      </c>
      <c r="M12" s="38">
        <v>10</v>
      </c>
      <c r="N12" s="47">
        <f t="shared" si="2"/>
        <v>855000</v>
      </c>
      <c r="O12" s="47">
        <f t="shared" si="3"/>
        <v>7695000</v>
      </c>
      <c r="P12" s="38" t="s">
        <v>51</v>
      </c>
      <c r="Q12" s="43" t="s">
        <v>92</v>
      </c>
      <c r="R12" s="27" t="s">
        <v>77</v>
      </c>
      <c r="S12" s="27" t="s">
        <v>71</v>
      </c>
    </row>
    <row r="13" spans="1:19" x14ac:dyDescent="0.3">
      <c r="A13" s="48" t="s">
        <v>94</v>
      </c>
      <c r="B13" s="49">
        <v>45304</v>
      </c>
      <c r="C13" s="39" t="s">
        <v>95</v>
      </c>
      <c r="D13" s="39" t="s">
        <v>65</v>
      </c>
      <c r="E13" s="39" t="s">
        <v>40</v>
      </c>
      <c r="F13" s="39" t="s">
        <v>57</v>
      </c>
      <c r="G13" s="39" t="s">
        <v>42</v>
      </c>
      <c r="H13" s="39" t="s">
        <v>71</v>
      </c>
      <c r="I13" s="50">
        <v>20</v>
      </c>
      <c r="J13" s="51">
        <v>28000</v>
      </c>
      <c r="K13" s="51">
        <f t="shared" si="4"/>
        <v>28000</v>
      </c>
      <c r="L13" s="51">
        <f t="shared" si="1"/>
        <v>560000</v>
      </c>
      <c r="M13" s="39">
        <v>10</v>
      </c>
      <c r="N13" s="51">
        <f t="shared" si="2"/>
        <v>56000</v>
      </c>
      <c r="O13" s="51">
        <f t="shared" si="3"/>
        <v>504000</v>
      </c>
      <c r="P13" s="39" t="s">
        <v>51</v>
      </c>
      <c r="Q13" s="52" t="s">
        <v>57</v>
      </c>
      <c r="R13" s="27" t="s">
        <v>42</v>
      </c>
      <c r="S13" s="27" t="s">
        <v>71</v>
      </c>
    </row>
    <row r="14" spans="1:19" x14ac:dyDescent="0.3">
      <c r="A14" s="44" t="s">
        <v>97</v>
      </c>
      <c r="B14" s="45">
        <v>45652</v>
      </c>
      <c r="C14" s="38" t="s">
        <v>98</v>
      </c>
      <c r="D14" s="38" t="s">
        <v>81</v>
      </c>
      <c r="E14" s="38" t="s">
        <v>40</v>
      </c>
      <c r="F14" s="38" t="s">
        <v>99</v>
      </c>
      <c r="G14" s="38" t="s">
        <v>77</v>
      </c>
      <c r="H14" s="38" t="s">
        <v>71</v>
      </c>
      <c r="I14" s="46">
        <v>15</v>
      </c>
      <c r="J14" s="47">
        <v>95000</v>
      </c>
      <c r="K14" s="47">
        <f t="shared" si="4"/>
        <v>95000</v>
      </c>
      <c r="L14" s="47">
        <f t="shared" si="1"/>
        <v>1425000</v>
      </c>
      <c r="M14" s="38">
        <v>0</v>
      </c>
      <c r="N14" s="47">
        <f t="shared" si="2"/>
        <v>0</v>
      </c>
      <c r="O14" s="47">
        <f t="shared" si="3"/>
        <v>1425000</v>
      </c>
      <c r="P14" s="38" t="s">
        <v>51</v>
      </c>
      <c r="Q14" s="43" t="s">
        <v>99</v>
      </c>
      <c r="R14" s="27" t="s">
        <v>77</v>
      </c>
      <c r="S14" s="27" t="s">
        <v>71</v>
      </c>
    </row>
    <row r="15" spans="1:19" x14ac:dyDescent="0.3">
      <c r="A15" s="48" t="s">
        <v>101</v>
      </c>
      <c r="B15" s="49">
        <v>45563</v>
      </c>
      <c r="C15" s="39" t="s">
        <v>102</v>
      </c>
      <c r="D15" s="39" t="s">
        <v>75</v>
      </c>
      <c r="E15" s="39" t="s">
        <v>56</v>
      </c>
      <c r="F15" s="39" t="s">
        <v>82</v>
      </c>
      <c r="G15" s="39" t="s">
        <v>77</v>
      </c>
      <c r="H15" s="39" t="s">
        <v>66</v>
      </c>
      <c r="I15" s="50">
        <v>16</v>
      </c>
      <c r="J15" s="51">
        <v>220000</v>
      </c>
      <c r="K15" s="51">
        <f t="shared" si="4"/>
        <v>220000</v>
      </c>
      <c r="L15" s="51">
        <f t="shared" si="1"/>
        <v>3520000</v>
      </c>
      <c r="M15" s="39">
        <v>20</v>
      </c>
      <c r="N15" s="51">
        <f t="shared" si="2"/>
        <v>704000</v>
      </c>
      <c r="O15" s="51">
        <f t="shared" si="3"/>
        <v>2816000</v>
      </c>
      <c r="P15" s="39" t="s">
        <v>51</v>
      </c>
      <c r="Q15" s="52" t="s">
        <v>82</v>
      </c>
      <c r="R15" s="27" t="s">
        <v>77</v>
      </c>
      <c r="S15" s="27" t="s">
        <v>66</v>
      </c>
    </row>
    <row r="16" spans="1:19" x14ac:dyDescent="0.3">
      <c r="A16" s="44" t="s">
        <v>104</v>
      </c>
      <c r="B16" s="45">
        <v>45483</v>
      </c>
      <c r="C16" s="38" t="s">
        <v>105</v>
      </c>
      <c r="D16" s="38" t="s">
        <v>48</v>
      </c>
      <c r="E16" s="38" t="s">
        <v>49</v>
      </c>
      <c r="F16" s="38" t="s">
        <v>92</v>
      </c>
      <c r="G16" s="38" t="s">
        <v>77</v>
      </c>
      <c r="H16" s="38" t="s">
        <v>43</v>
      </c>
      <c r="I16" s="46">
        <v>18</v>
      </c>
      <c r="J16" s="47">
        <v>450000</v>
      </c>
      <c r="K16" s="47">
        <f t="shared" si="4"/>
        <v>450000</v>
      </c>
      <c r="L16" s="47">
        <f t="shared" si="1"/>
        <v>8100000</v>
      </c>
      <c r="M16" s="38">
        <v>15</v>
      </c>
      <c r="N16" s="47">
        <f t="shared" si="2"/>
        <v>1215000</v>
      </c>
      <c r="O16" s="47">
        <f t="shared" si="3"/>
        <v>6885000</v>
      </c>
      <c r="P16" s="38" t="s">
        <v>51</v>
      </c>
      <c r="Q16" s="43" t="s">
        <v>92</v>
      </c>
      <c r="R16" s="27" t="s">
        <v>77</v>
      </c>
      <c r="S16" s="27" t="s">
        <v>43</v>
      </c>
    </row>
    <row r="17" spans="1:19" x14ac:dyDescent="0.3">
      <c r="A17" s="48" t="s">
        <v>107</v>
      </c>
      <c r="B17" s="49">
        <v>45424</v>
      </c>
      <c r="C17" s="39" t="s">
        <v>108</v>
      </c>
      <c r="D17" s="39" t="s">
        <v>109</v>
      </c>
      <c r="E17" s="39" t="s">
        <v>40</v>
      </c>
      <c r="F17" s="39" t="s">
        <v>82</v>
      </c>
      <c r="G17" s="39" t="s">
        <v>77</v>
      </c>
      <c r="H17" s="39" t="s">
        <v>981</v>
      </c>
      <c r="I17" s="50">
        <v>10</v>
      </c>
      <c r="J17" s="51">
        <v>220000</v>
      </c>
      <c r="K17" s="51">
        <f t="shared" si="4"/>
        <v>220000</v>
      </c>
      <c r="L17" s="51">
        <f t="shared" si="1"/>
        <v>2200000</v>
      </c>
      <c r="M17" s="39">
        <v>10</v>
      </c>
      <c r="N17" s="51">
        <f t="shared" si="2"/>
        <v>220000</v>
      </c>
      <c r="O17" s="51">
        <f t="shared" si="3"/>
        <v>1980000</v>
      </c>
      <c r="P17" s="39" t="s">
        <v>51</v>
      </c>
      <c r="Q17" s="52" t="s">
        <v>82</v>
      </c>
      <c r="R17" s="27" t="s">
        <v>77</v>
      </c>
      <c r="S17" s="27" t="s">
        <v>982</v>
      </c>
    </row>
    <row r="18" spans="1:19" x14ac:dyDescent="0.3">
      <c r="A18" s="44" t="s">
        <v>111</v>
      </c>
      <c r="B18" s="45">
        <v>45561</v>
      </c>
      <c r="C18" s="38" t="s">
        <v>112</v>
      </c>
      <c r="D18" s="38" t="s">
        <v>75</v>
      </c>
      <c r="E18" s="38" t="s">
        <v>70</v>
      </c>
      <c r="F18" s="38" t="s">
        <v>92</v>
      </c>
      <c r="G18" s="38" t="s">
        <v>77</v>
      </c>
      <c r="H18" s="38" t="s">
        <v>71</v>
      </c>
      <c r="I18" s="46">
        <v>16</v>
      </c>
      <c r="J18" s="47">
        <v>450000</v>
      </c>
      <c r="K18" s="47">
        <f t="shared" si="4"/>
        <v>450000</v>
      </c>
      <c r="L18" s="47">
        <f t="shared" si="1"/>
        <v>7200000</v>
      </c>
      <c r="M18" s="38">
        <v>0</v>
      </c>
      <c r="N18" s="47">
        <f t="shared" si="2"/>
        <v>0</v>
      </c>
      <c r="O18" s="47">
        <f t="shared" si="3"/>
        <v>7200000</v>
      </c>
      <c r="P18" s="38" t="s">
        <v>86</v>
      </c>
      <c r="Q18" s="43" t="s">
        <v>92</v>
      </c>
      <c r="R18" s="27" t="s">
        <v>77</v>
      </c>
      <c r="S18" s="27" t="s">
        <v>71</v>
      </c>
    </row>
    <row r="19" spans="1:19" x14ac:dyDescent="0.3">
      <c r="A19" s="48" t="s">
        <v>113</v>
      </c>
      <c r="B19" s="49">
        <v>45376</v>
      </c>
      <c r="C19" s="39" t="s">
        <v>114</v>
      </c>
      <c r="D19" s="39" t="s">
        <v>55</v>
      </c>
      <c r="E19" s="39" t="s">
        <v>49</v>
      </c>
      <c r="F19" s="39" t="s">
        <v>61</v>
      </c>
      <c r="G19" s="39" t="s">
        <v>42</v>
      </c>
      <c r="H19" s="39" t="s">
        <v>71</v>
      </c>
      <c r="I19" s="50">
        <v>10</v>
      </c>
      <c r="J19" s="51">
        <v>22000</v>
      </c>
      <c r="K19" s="51">
        <f t="shared" si="4"/>
        <v>22000</v>
      </c>
      <c r="L19" s="51">
        <f t="shared" si="1"/>
        <v>220000</v>
      </c>
      <c r="M19" s="39">
        <v>5</v>
      </c>
      <c r="N19" s="51">
        <f t="shared" si="2"/>
        <v>11000</v>
      </c>
      <c r="O19" s="51">
        <f t="shared" si="3"/>
        <v>209000</v>
      </c>
      <c r="P19" s="39" t="s">
        <v>51</v>
      </c>
      <c r="Q19" s="52" t="s">
        <v>61</v>
      </c>
      <c r="R19" s="27" t="s">
        <v>42</v>
      </c>
      <c r="S19" s="27" t="s">
        <v>71</v>
      </c>
    </row>
    <row r="20" spans="1:19" x14ac:dyDescent="0.3">
      <c r="A20" s="44" t="s">
        <v>116</v>
      </c>
      <c r="B20" s="45">
        <v>45399</v>
      </c>
      <c r="C20" s="38" t="s">
        <v>117</v>
      </c>
      <c r="D20" s="38" t="s">
        <v>118</v>
      </c>
      <c r="E20" s="38" t="s">
        <v>40</v>
      </c>
      <c r="F20" s="38" t="s">
        <v>57</v>
      </c>
      <c r="G20" s="38" t="s">
        <v>42</v>
      </c>
      <c r="H20" s="38" t="s">
        <v>71</v>
      </c>
      <c r="I20" s="46">
        <v>14</v>
      </c>
      <c r="J20" s="47">
        <v>28000</v>
      </c>
      <c r="K20" s="47">
        <f t="shared" si="4"/>
        <v>28000</v>
      </c>
      <c r="L20" s="47">
        <f t="shared" si="1"/>
        <v>392000</v>
      </c>
      <c r="M20" s="38">
        <v>0</v>
      </c>
      <c r="N20" s="47">
        <f t="shared" si="2"/>
        <v>0</v>
      </c>
      <c r="O20" s="47">
        <f t="shared" si="3"/>
        <v>392000</v>
      </c>
      <c r="P20" s="38" t="s">
        <v>51</v>
      </c>
      <c r="Q20" s="43" t="s">
        <v>57</v>
      </c>
      <c r="R20" s="27" t="s">
        <v>42</v>
      </c>
      <c r="S20" s="27" t="s">
        <v>71</v>
      </c>
    </row>
    <row r="21" spans="1:19" x14ac:dyDescent="0.3">
      <c r="A21" s="48" t="s">
        <v>119</v>
      </c>
      <c r="B21" s="49">
        <v>45574</v>
      </c>
      <c r="C21" s="39" t="s">
        <v>120</v>
      </c>
      <c r="D21" s="39" t="s">
        <v>75</v>
      </c>
      <c r="E21" s="39" t="s">
        <v>70</v>
      </c>
      <c r="F21" s="39" t="s">
        <v>61</v>
      </c>
      <c r="G21" s="39" t="s">
        <v>42</v>
      </c>
      <c r="H21" s="39" t="s">
        <v>66</v>
      </c>
      <c r="I21" s="50">
        <v>8</v>
      </c>
      <c r="J21" s="51">
        <v>22000</v>
      </c>
      <c r="K21" s="51">
        <f t="shared" si="4"/>
        <v>22000</v>
      </c>
      <c r="L21" s="51">
        <f t="shared" si="1"/>
        <v>176000</v>
      </c>
      <c r="M21" s="39">
        <v>5</v>
      </c>
      <c r="N21" s="51">
        <f t="shared" si="2"/>
        <v>8800</v>
      </c>
      <c r="O21" s="51">
        <f t="shared" si="3"/>
        <v>167200</v>
      </c>
      <c r="P21" s="39" t="s">
        <v>51</v>
      </c>
      <c r="Q21" s="52" t="s">
        <v>61</v>
      </c>
      <c r="R21" s="27" t="s">
        <v>42</v>
      </c>
      <c r="S21" s="27" t="s">
        <v>66</v>
      </c>
    </row>
    <row r="22" spans="1:19" x14ac:dyDescent="0.3">
      <c r="A22" s="44" t="s">
        <v>121</v>
      </c>
      <c r="B22" s="45">
        <v>45631</v>
      </c>
      <c r="C22" s="38" t="s">
        <v>122</v>
      </c>
      <c r="D22" s="38" t="s">
        <v>48</v>
      </c>
      <c r="E22" s="38" t="s">
        <v>70</v>
      </c>
      <c r="F22" s="38" t="s">
        <v>50</v>
      </c>
      <c r="G22" s="38" t="s">
        <v>42</v>
      </c>
      <c r="H22" s="38" t="s">
        <v>66</v>
      </c>
      <c r="I22" s="46">
        <v>19</v>
      </c>
      <c r="J22" s="47">
        <v>18000</v>
      </c>
      <c r="K22" s="47">
        <f t="shared" si="4"/>
        <v>18000</v>
      </c>
      <c r="L22" s="47">
        <f t="shared" si="1"/>
        <v>342000</v>
      </c>
      <c r="M22" s="38">
        <v>15</v>
      </c>
      <c r="N22" s="47">
        <f t="shared" si="2"/>
        <v>51300</v>
      </c>
      <c r="O22" s="47">
        <f t="shared" si="3"/>
        <v>290700</v>
      </c>
      <c r="P22" s="38" t="s">
        <v>51</v>
      </c>
      <c r="Q22" s="43" t="s">
        <v>50</v>
      </c>
      <c r="R22" s="27" t="s">
        <v>42</v>
      </c>
      <c r="S22" s="27" t="s">
        <v>66</v>
      </c>
    </row>
    <row r="23" spans="1:19" x14ac:dyDescent="0.3">
      <c r="A23" s="48" t="s">
        <v>124</v>
      </c>
      <c r="B23" s="49">
        <v>45475</v>
      </c>
      <c r="C23" s="39" t="s">
        <v>125</v>
      </c>
      <c r="D23" s="39" t="s">
        <v>109</v>
      </c>
      <c r="E23" s="39" t="s">
        <v>49</v>
      </c>
      <c r="F23" s="39" t="s">
        <v>76</v>
      </c>
      <c r="G23" s="39" t="s">
        <v>77</v>
      </c>
      <c r="H23" s="39" t="s">
        <v>66</v>
      </c>
      <c r="I23" s="50">
        <v>12</v>
      </c>
      <c r="J23" s="51">
        <v>180000</v>
      </c>
      <c r="K23" s="51">
        <f t="shared" si="4"/>
        <v>180000</v>
      </c>
      <c r="L23" s="51">
        <f t="shared" si="1"/>
        <v>2160000</v>
      </c>
      <c r="M23" s="39">
        <v>0</v>
      </c>
      <c r="N23" s="51">
        <f t="shared" si="2"/>
        <v>0</v>
      </c>
      <c r="O23" s="51">
        <f t="shared" si="3"/>
        <v>2160000</v>
      </c>
      <c r="P23" s="39" t="s">
        <v>51</v>
      </c>
      <c r="Q23" s="52" t="s">
        <v>76</v>
      </c>
      <c r="R23" s="27" t="s">
        <v>77</v>
      </c>
      <c r="S23" s="27" t="s">
        <v>66</v>
      </c>
    </row>
    <row r="24" spans="1:19" x14ac:dyDescent="0.3">
      <c r="A24" s="48" t="s">
        <v>126</v>
      </c>
      <c r="B24" s="49">
        <v>45357</v>
      </c>
      <c r="C24" s="39" t="s">
        <v>127</v>
      </c>
      <c r="D24" s="39" t="s">
        <v>65</v>
      </c>
      <c r="E24" s="39" t="s">
        <v>70</v>
      </c>
      <c r="F24" s="39" t="s">
        <v>57</v>
      </c>
      <c r="G24" s="39" t="s">
        <v>42</v>
      </c>
      <c r="H24" s="39" t="s">
        <v>66</v>
      </c>
      <c r="I24" s="50">
        <v>19</v>
      </c>
      <c r="J24" s="51">
        <v>28000</v>
      </c>
      <c r="K24" s="51">
        <f t="shared" si="4"/>
        <v>28000</v>
      </c>
      <c r="L24" s="51">
        <f t="shared" si="1"/>
        <v>532000</v>
      </c>
      <c r="M24" s="39">
        <v>15</v>
      </c>
      <c r="N24" s="51">
        <f t="shared" si="2"/>
        <v>79800</v>
      </c>
      <c r="O24" s="51">
        <f t="shared" si="3"/>
        <v>452200</v>
      </c>
      <c r="P24" s="39" t="s">
        <v>51</v>
      </c>
      <c r="Q24" s="52" t="s">
        <v>57</v>
      </c>
      <c r="R24" s="27" t="s">
        <v>42</v>
      </c>
      <c r="S24" s="27" t="s">
        <v>66</v>
      </c>
    </row>
    <row r="25" spans="1:19" x14ac:dyDescent="0.3">
      <c r="A25" s="44" t="s">
        <v>128</v>
      </c>
      <c r="B25" s="45">
        <v>45557</v>
      </c>
      <c r="C25" s="38" t="s">
        <v>129</v>
      </c>
      <c r="D25" s="38" t="s">
        <v>48</v>
      </c>
      <c r="E25" s="38" t="s">
        <v>56</v>
      </c>
      <c r="F25" s="38" t="s">
        <v>82</v>
      </c>
      <c r="G25" s="38" t="s">
        <v>77</v>
      </c>
      <c r="H25" s="38" t="s">
        <v>130</v>
      </c>
      <c r="I25" s="46">
        <v>19</v>
      </c>
      <c r="J25" s="47">
        <v>220000</v>
      </c>
      <c r="K25" s="47">
        <f t="shared" si="4"/>
        <v>220000</v>
      </c>
      <c r="L25" s="47">
        <f t="shared" si="1"/>
        <v>4180000</v>
      </c>
      <c r="M25" s="38">
        <v>5</v>
      </c>
      <c r="N25" s="47">
        <f t="shared" si="2"/>
        <v>209000</v>
      </c>
      <c r="O25" s="47">
        <f t="shared" si="3"/>
        <v>3971000</v>
      </c>
      <c r="P25" s="38" t="s">
        <v>131</v>
      </c>
      <c r="Q25" s="43" t="s">
        <v>82</v>
      </c>
      <c r="R25" s="27" t="s">
        <v>77</v>
      </c>
      <c r="S25" s="27" t="s">
        <v>130</v>
      </c>
    </row>
    <row r="26" spans="1:19" x14ac:dyDescent="0.3">
      <c r="A26" s="48" t="s">
        <v>133</v>
      </c>
      <c r="B26" s="49">
        <v>45301</v>
      </c>
      <c r="C26" s="39" t="s">
        <v>134</v>
      </c>
      <c r="D26" s="39" t="s">
        <v>65</v>
      </c>
      <c r="E26" s="39" t="s">
        <v>70</v>
      </c>
      <c r="F26" s="39" t="s">
        <v>50</v>
      </c>
      <c r="G26" s="39" t="s">
        <v>42</v>
      </c>
      <c r="H26" s="39" t="s">
        <v>43</v>
      </c>
      <c r="I26" s="50">
        <v>2</v>
      </c>
      <c r="J26" s="51">
        <v>18000</v>
      </c>
      <c r="K26" s="51">
        <f t="shared" si="4"/>
        <v>18000</v>
      </c>
      <c r="L26" s="51">
        <f t="shared" si="1"/>
        <v>36000</v>
      </c>
      <c r="M26" s="39">
        <v>0</v>
      </c>
      <c r="N26" s="51">
        <f t="shared" si="2"/>
        <v>0</v>
      </c>
      <c r="O26" s="51">
        <f t="shared" si="3"/>
        <v>36000</v>
      </c>
      <c r="P26" s="39" t="s">
        <v>51</v>
      </c>
      <c r="Q26" s="52" t="s">
        <v>50</v>
      </c>
      <c r="R26" s="27" t="s">
        <v>42</v>
      </c>
      <c r="S26" s="27" t="s">
        <v>43</v>
      </c>
    </row>
    <row r="27" spans="1:19" x14ac:dyDescent="0.3">
      <c r="A27" s="44" t="s">
        <v>135</v>
      </c>
      <c r="B27" s="45">
        <v>45449</v>
      </c>
      <c r="C27" s="38" t="s">
        <v>136</v>
      </c>
      <c r="D27" s="38" t="s">
        <v>39</v>
      </c>
      <c r="E27" s="38" t="s">
        <v>40</v>
      </c>
      <c r="F27" s="38" t="s">
        <v>61</v>
      </c>
      <c r="G27" s="38" t="s">
        <v>42</v>
      </c>
      <c r="H27" s="38" t="s">
        <v>71</v>
      </c>
      <c r="I27" s="46">
        <v>10</v>
      </c>
      <c r="J27" s="47">
        <v>22000</v>
      </c>
      <c r="K27" s="47">
        <f t="shared" si="4"/>
        <v>22000</v>
      </c>
      <c r="L27" s="47">
        <f t="shared" si="1"/>
        <v>220000</v>
      </c>
      <c r="M27" s="38">
        <v>0</v>
      </c>
      <c r="N27" s="47">
        <f t="shared" si="2"/>
        <v>0</v>
      </c>
      <c r="O27" s="47">
        <f t="shared" si="3"/>
        <v>220000</v>
      </c>
      <c r="P27" s="38" t="s">
        <v>44</v>
      </c>
      <c r="Q27" s="43" t="s">
        <v>61</v>
      </c>
      <c r="R27" s="27" t="s">
        <v>42</v>
      </c>
      <c r="S27" s="27" t="s">
        <v>137</v>
      </c>
    </row>
    <row r="28" spans="1:19" x14ac:dyDescent="0.3">
      <c r="A28" s="48" t="s">
        <v>139</v>
      </c>
      <c r="B28" s="49">
        <v>45577</v>
      </c>
      <c r="C28" s="39" t="s">
        <v>140</v>
      </c>
      <c r="D28" s="39" t="s">
        <v>141</v>
      </c>
      <c r="E28" s="39" t="s">
        <v>70</v>
      </c>
      <c r="F28" s="39" t="s">
        <v>76</v>
      </c>
      <c r="G28" s="39" t="s">
        <v>77</v>
      </c>
      <c r="H28" s="39" t="s">
        <v>71</v>
      </c>
      <c r="I28" s="50">
        <v>15</v>
      </c>
      <c r="J28" s="51">
        <v>180000</v>
      </c>
      <c r="K28" s="51">
        <f t="shared" si="4"/>
        <v>180000</v>
      </c>
      <c r="L28" s="51">
        <f t="shared" si="1"/>
        <v>2700000</v>
      </c>
      <c r="M28" s="39">
        <v>0</v>
      </c>
      <c r="N28" s="51">
        <f t="shared" si="2"/>
        <v>0</v>
      </c>
      <c r="O28" s="51">
        <f t="shared" si="3"/>
        <v>2700000</v>
      </c>
      <c r="P28" s="39" t="s">
        <v>131</v>
      </c>
      <c r="Q28" s="52" t="s">
        <v>76</v>
      </c>
      <c r="R28" s="27" t="s">
        <v>77</v>
      </c>
      <c r="S28" s="27" t="s">
        <v>71</v>
      </c>
    </row>
    <row r="29" spans="1:19" x14ac:dyDescent="0.3">
      <c r="A29" s="44" t="s">
        <v>143</v>
      </c>
      <c r="B29" s="45">
        <v>45405</v>
      </c>
      <c r="C29" s="38" t="s">
        <v>144</v>
      </c>
      <c r="D29" s="38" t="s">
        <v>109</v>
      </c>
      <c r="E29" s="38" t="s">
        <v>49</v>
      </c>
      <c r="F29" s="38" t="s">
        <v>92</v>
      </c>
      <c r="G29" s="38" t="s">
        <v>77</v>
      </c>
      <c r="H29" s="38" t="s">
        <v>43</v>
      </c>
      <c r="I29" s="46">
        <v>15</v>
      </c>
      <c r="J29" s="47">
        <v>450000</v>
      </c>
      <c r="K29" s="47">
        <f t="shared" si="4"/>
        <v>450000</v>
      </c>
      <c r="L29" s="47">
        <f t="shared" si="1"/>
        <v>6750000</v>
      </c>
      <c r="M29" s="38">
        <v>10</v>
      </c>
      <c r="N29" s="47">
        <f t="shared" si="2"/>
        <v>675000</v>
      </c>
      <c r="O29" s="47">
        <f t="shared" si="3"/>
        <v>6075000</v>
      </c>
      <c r="P29" s="38" t="s">
        <v>51</v>
      </c>
      <c r="Q29" s="43" t="s">
        <v>92</v>
      </c>
      <c r="R29" s="27" t="s">
        <v>77</v>
      </c>
      <c r="S29" s="27" t="s">
        <v>43</v>
      </c>
    </row>
    <row r="30" spans="1:19" x14ac:dyDescent="0.3">
      <c r="A30" s="48" t="s">
        <v>145</v>
      </c>
      <c r="B30" s="49">
        <v>45356</v>
      </c>
      <c r="C30" s="39" t="s">
        <v>146</v>
      </c>
      <c r="D30" s="39" t="s">
        <v>141</v>
      </c>
      <c r="E30" s="39" t="s">
        <v>70</v>
      </c>
      <c r="F30" s="39" t="s">
        <v>82</v>
      </c>
      <c r="G30" s="39" t="s">
        <v>77</v>
      </c>
      <c r="H30" s="39" t="s">
        <v>71</v>
      </c>
      <c r="I30" s="50">
        <v>18</v>
      </c>
      <c r="J30" s="51">
        <v>220000</v>
      </c>
      <c r="K30" s="51">
        <f t="shared" si="4"/>
        <v>220000</v>
      </c>
      <c r="L30" s="51">
        <f t="shared" si="1"/>
        <v>3960000</v>
      </c>
      <c r="M30" s="39">
        <v>20</v>
      </c>
      <c r="N30" s="51">
        <f t="shared" si="2"/>
        <v>792000</v>
      </c>
      <c r="O30" s="51">
        <f t="shared" si="3"/>
        <v>3168000</v>
      </c>
      <c r="P30" s="39" t="s">
        <v>51</v>
      </c>
      <c r="Q30" s="52" t="s">
        <v>82</v>
      </c>
      <c r="R30" s="27" t="s">
        <v>77</v>
      </c>
      <c r="S30" s="27" t="s">
        <v>71</v>
      </c>
    </row>
    <row r="31" spans="1:19" x14ac:dyDescent="0.3">
      <c r="A31" s="44" t="s">
        <v>147</v>
      </c>
      <c r="B31" s="45">
        <v>45507</v>
      </c>
      <c r="C31" s="38" t="s">
        <v>148</v>
      </c>
      <c r="D31" s="38" t="s">
        <v>109</v>
      </c>
      <c r="E31" s="38" t="s">
        <v>40</v>
      </c>
      <c r="F31" s="38" t="s">
        <v>99</v>
      </c>
      <c r="G31" s="38" t="s">
        <v>77</v>
      </c>
      <c r="H31" s="38" t="s">
        <v>43</v>
      </c>
      <c r="I31" s="46">
        <v>5</v>
      </c>
      <c r="J31" s="47">
        <v>95000</v>
      </c>
      <c r="K31" s="47">
        <f t="shared" si="4"/>
        <v>95000</v>
      </c>
      <c r="L31" s="47">
        <f t="shared" si="1"/>
        <v>475000</v>
      </c>
      <c r="M31" s="38">
        <v>15</v>
      </c>
      <c r="N31" s="47">
        <f t="shared" si="2"/>
        <v>71250</v>
      </c>
      <c r="O31" s="47">
        <f t="shared" si="3"/>
        <v>403750</v>
      </c>
      <c r="P31" s="38" t="s">
        <v>86</v>
      </c>
      <c r="Q31" s="43" t="s">
        <v>99</v>
      </c>
      <c r="R31" s="27" t="s">
        <v>77</v>
      </c>
      <c r="S31" s="27" t="s">
        <v>43</v>
      </c>
    </row>
    <row r="32" spans="1:19" x14ac:dyDescent="0.3">
      <c r="A32" s="48" t="s">
        <v>150</v>
      </c>
      <c r="B32" s="49">
        <v>45379</v>
      </c>
      <c r="C32" s="39" t="s">
        <v>151</v>
      </c>
      <c r="D32" s="39" t="s">
        <v>75</v>
      </c>
      <c r="E32" s="39" t="s">
        <v>49</v>
      </c>
      <c r="F32" s="39" t="s">
        <v>50</v>
      </c>
      <c r="G32" s="39" t="s">
        <v>42</v>
      </c>
      <c r="H32" s="39" t="s">
        <v>43</v>
      </c>
      <c r="I32" s="50">
        <v>7</v>
      </c>
      <c r="J32" s="51">
        <v>18000</v>
      </c>
      <c r="K32" s="51">
        <f t="shared" si="4"/>
        <v>18000</v>
      </c>
      <c r="L32" s="51">
        <f t="shared" si="1"/>
        <v>126000</v>
      </c>
      <c r="M32" s="39">
        <v>0</v>
      </c>
      <c r="N32" s="51">
        <f t="shared" si="2"/>
        <v>0</v>
      </c>
      <c r="O32" s="51">
        <f t="shared" si="3"/>
        <v>126000</v>
      </c>
      <c r="P32" s="39" t="s">
        <v>51</v>
      </c>
      <c r="Q32" s="52" t="s">
        <v>50</v>
      </c>
      <c r="R32" s="27" t="s">
        <v>42</v>
      </c>
      <c r="S32" s="27" t="s">
        <v>43</v>
      </c>
    </row>
    <row r="33" spans="1:19" x14ac:dyDescent="0.3">
      <c r="A33" s="44" t="s">
        <v>152</v>
      </c>
      <c r="B33" s="45">
        <v>45437</v>
      </c>
      <c r="C33" s="38" t="s">
        <v>153</v>
      </c>
      <c r="D33" s="38" t="s">
        <v>154</v>
      </c>
      <c r="E33" s="38" t="s">
        <v>49</v>
      </c>
      <c r="F33" s="38" t="s">
        <v>76</v>
      </c>
      <c r="G33" s="38" t="s">
        <v>77</v>
      </c>
      <c r="H33" s="38" t="s">
        <v>71</v>
      </c>
      <c r="I33" s="46">
        <v>19</v>
      </c>
      <c r="J33" s="47">
        <v>180000</v>
      </c>
      <c r="K33" s="47">
        <f t="shared" si="4"/>
        <v>180000</v>
      </c>
      <c r="L33" s="47">
        <f t="shared" si="1"/>
        <v>3420000</v>
      </c>
      <c r="M33" s="38">
        <v>0</v>
      </c>
      <c r="N33" s="47">
        <f t="shared" si="2"/>
        <v>0</v>
      </c>
      <c r="O33" s="47">
        <f t="shared" si="3"/>
        <v>3420000</v>
      </c>
      <c r="P33" s="38" t="s">
        <v>51</v>
      </c>
      <c r="Q33" s="43" t="s">
        <v>76</v>
      </c>
      <c r="R33" s="27" t="s">
        <v>77</v>
      </c>
      <c r="S33" s="27" t="s">
        <v>71</v>
      </c>
    </row>
    <row r="34" spans="1:19" x14ac:dyDescent="0.3">
      <c r="A34" s="48" t="s">
        <v>155</v>
      </c>
      <c r="B34" s="49">
        <v>45607</v>
      </c>
      <c r="C34" s="39" t="s">
        <v>156</v>
      </c>
      <c r="D34" s="39" t="s">
        <v>65</v>
      </c>
      <c r="E34" s="39" t="s">
        <v>40</v>
      </c>
      <c r="F34" s="39" t="s">
        <v>82</v>
      </c>
      <c r="G34" s="39" t="s">
        <v>77</v>
      </c>
      <c r="H34" s="38" t="s">
        <v>71</v>
      </c>
      <c r="I34" s="50">
        <v>12</v>
      </c>
      <c r="J34" s="51">
        <v>220000</v>
      </c>
      <c r="K34" s="51">
        <f t="shared" si="4"/>
        <v>220000</v>
      </c>
      <c r="L34" s="51">
        <f t="shared" si="1"/>
        <v>2640000</v>
      </c>
      <c r="M34" s="39">
        <v>20</v>
      </c>
      <c r="N34" s="51">
        <f t="shared" si="2"/>
        <v>528000</v>
      </c>
      <c r="O34" s="51">
        <f t="shared" si="3"/>
        <v>2112000</v>
      </c>
      <c r="P34" s="39" t="s">
        <v>131</v>
      </c>
      <c r="Q34" s="52" t="s">
        <v>82</v>
      </c>
      <c r="R34" s="27" t="s">
        <v>77</v>
      </c>
      <c r="S34" s="27" t="s">
        <v>137</v>
      </c>
    </row>
    <row r="35" spans="1:19" x14ac:dyDescent="0.3">
      <c r="A35" s="44" t="s">
        <v>158</v>
      </c>
      <c r="B35" s="45">
        <v>45648</v>
      </c>
      <c r="C35" s="38" t="s">
        <v>159</v>
      </c>
      <c r="D35" s="38" t="s">
        <v>55</v>
      </c>
      <c r="E35" s="38" t="s">
        <v>49</v>
      </c>
      <c r="F35" s="38" t="s">
        <v>92</v>
      </c>
      <c r="G35" s="38" t="s">
        <v>77</v>
      </c>
      <c r="H35" s="38" t="s">
        <v>43</v>
      </c>
      <c r="I35" s="46">
        <v>1</v>
      </c>
      <c r="J35" s="47">
        <v>450000</v>
      </c>
      <c r="K35" s="47">
        <f t="shared" si="4"/>
        <v>450000</v>
      </c>
      <c r="L35" s="47">
        <f t="shared" si="1"/>
        <v>450000</v>
      </c>
      <c r="M35" s="38">
        <v>10</v>
      </c>
      <c r="N35" s="47">
        <f t="shared" si="2"/>
        <v>45000</v>
      </c>
      <c r="O35" s="47">
        <f t="shared" si="3"/>
        <v>405000</v>
      </c>
      <c r="P35" s="38" t="s">
        <v>131</v>
      </c>
      <c r="Q35" s="43" t="s">
        <v>92</v>
      </c>
      <c r="R35" s="27" t="s">
        <v>77</v>
      </c>
      <c r="S35" s="27" t="s">
        <v>43</v>
      </c>
    </row>
    <row r="36" spans="1:19" x14ac:dyDescent="0.3">
      <c r="A36" s="48" t="s">
        <v>160</v>
      </c>
      <c r="B36" s="49">
        <v>45525</v>
      </c>
      <c r="C36" s="39" t="s">
        <v>161</v>
      </c>
      <c r="D36" s="39" t="s">
        <v>81</v>
      </c>
      <c r="E36" s="39" t="s">
        <v>49</v>
      </c>
      <c r="F36" s="39" t="s">
        <v>41</v>
      </c>
      <c r="G36" s="39" t="s">
        <v>42</v>
      </c>
      <c r="H36" s="39" t="s">
        <v>66</v>
      </c>
      <c r="I36" s="50">
        <v>13</v>
      </c>
      <c r="J36" s="51">
        <v>35000</v>
      </c>
      <c r="K36" s="51">
        <f t="shared" si="4"/>
        <v>35000</v>
      </c>
      <c r="L36" s="51">
        <f t="shared" si="1"/>
        <v>455000</v>
      </c>
      <c r="M36" s="39">
        <v>0</v>
      </c>
      <c r="N36" s="51">
        <f t="shared" si="2"/>
        <v>0</v>
      </c>
      <c r="O36" s="51">
        <f t="shared" si="3"/>
        <v>455000</v>
      </c>
      <c r="P36" s="39" t="s">
        <v>164</v>
      </c>
      <c r="Q36" s="52" t="s">
        <v>41</v>
      </c>
      <c r="R36" s="27" t="s">
        <v>42</v>
      </c>
      <c r="S36" s="27" t="s">
        <v>66</v>
      </c>
    </row>
    <row r="37" spans="1:19" x14ac:dyDescent="0.3">
      <c r="A37" s="44" t="s">
        <v>166</v>
      </c>
      <c r="B37" s="45">
        <v>45378</v>
      </c>
      <c r="C37" s="38" t="s">
        <v>167</v>
      </c>
      <c r="D37" s="38" t="s">
        <v>81</v>
      </c>
      <c r="E37" s="38" t="s">
        <v>56</v>
      </c>
      <c r="F37" s="38" t="s">
        <v>92</v>
      </c>
      <c r="G37" s="38" t="s">
        <v>77</v>
      </c>
      <c r="H37" s="38" t="s">
        <v>66</v>
      </c>
      <c r="I37" s="46">
        <v>8</v>
      </c>
      <c r="J37" s="47">
        <v>450000</v>
      </c>
      <c r="K37" s="47">
        <f t="shared" si="4"/>
        <v>450000</v>
      </c>
      <c r="L37" s="47">
        <f t="shared" si="1"/>
        <v>3600000</v>
      </c>
      <c r="M37" s="38">
        <v>20</v>
      </c>
      <c r="N37" s="47">
        <f t="shared" si="2"/>
        <v>720000</v>
      </c>
      <c r="O37" s="47">
        <f t="shared" si="3"/>
        <v>2880000</v>
      </c>
      <c r="P37" s="38" t="s">
        <v>51</v>
      </c>
      <c r="Q37" s="43" t="s">
        <v>92</v>
      </c>
      <c r="R37" s="27" t="s">
        <v>77</v>
      </c>
      <c r="S37" s="27" t="s">
        <v>66</v>
      </c>
    </row>
    <row r="38" spans="1:19" x14ac:dyDescent="0.3">
      <c r="A38" s="48" t="s">
        <v>169</v>
      </c>
      <c r="B38" s="49">
        <v>45419</v>
      </c>
      <c r="C38" s="39" t="s">
        <v>170</v>
      </c>
      <c r="D38" s="39" t="s">
        <v>48</v>
      </c>
      <c r="E38" s="39" t="s">
        <v>49</v>
      </c>
      <c r="F38" s="39" t="s">
        <v>41</v>
      </c>
      <c r="G38" s="39" t="s">
        <v>42</v>
      </c>
      <c r="H38" s="39" t="s">
        <v>43</v>
      </c>
      <c r="I38" s="50">
        <v>2</v>
      </c>
      <c r="J38" s="51">
        <v>35000</v>
      </c>
      <c r="K38" s="51">
        <f t="shared" si="4"/>
        <v>35000</v>
      </c>
      <c r="L38" s="51">
        <f t="shared" si="1"/>
        <v>70000</v>
      </c>
      <c r="M38" s="39">
        <v>5</v>
      </c>
      <c r="N38" s="51">
        <f t="shared" si="2"/>
        <v>3500</v>
      </c>
      <c r="O38" s="51">
        <f t="shared" si="3"/>
        <v>66500</v>
      </c>
      <c r="P38" s="39" t="s">
        <v>86</v>
      </c>
      <c r="Q38" s="52" t="s">
        <v>41</v>
      </c>
      <c r="R38" s="27" t="s">
        <v>42</v>
      </c>
      <c r="S38" s="27" t="s">
        <v>43</v>
      </c>
    </row>
    <row r="39" spans="1:19" x14ac:dyDescent="0.3">
      <c r="A39" s="44" t="s">
        <v>171</v>
      </c>
      <c r="B39" s="45">
        <v>45454</v>
      </c>
      <c r="C39" s="38" t="s">
        <v>172</v>
      </c>
      <c r="D39" s="38" t="s">
        <v>75</v>
      </c>
      <c r="E39" s="38" t="s">
        <v>173</v>
      </c>
      <c r="F39" s="38" t="s">
        <v>61</v>
      </c>
      <c r="G39" s="38" t="s">
        <v>42</v>
      </c>
      <c r="H39" s="38" t="s">
        <v>66</v>
      </c>
      <c r="I39" s="46">
        <v>3</v>
      </c>
      <c r="J39" s="47">
        <v>22000</v>
      </c>
      <c r="K39" s="47">
        <f t="shared" si="4"/>
        <v>22000</v>
      </c>
      <c r="L39" s="47">
        <f t="shared" si="1"/>
        <v>66000</v>
      </c>
      <c r="M39" s="38">
        <v>15</v>
      </c>
      <c r="N39" s="47">
        <f t="shared" si="2"/>
        <v>9900</v>
      </c>
      <c r="O39" s="47">
        <f t="shared" si="3"/>
        <v>56100</v>
      </c>
      <c r="P39" s="38" t="s">
        <v>51</v>
      </c>
      <c r="Q39" s="43" t="s">
        <v>61</v>
      </c>
      <c r="R39" s="27" t="s">
        <v>42</v>
      </c>
      <c r="S39" s="27" t="s">
        <v>66</v>
      </c>
    </row>
    <row r="40" spans="1:19" x14ac:dyDescent="0.3">
      <c r="A40" s="48" t="s">
        <v>176</v>
      </c>
      <c r="B40" s="49">
        <v>45445</v>
      </c>
      <c r="C40" s="39" t="s">
        <v>177</v>
      </c>
      <c r="D40" s="39" t="s">
        <v>109</v>
      </c>
      <c r="E40" s="39" t="s">
        <v>49</v>
      </c>
      <c r="F40" s="39" t="s">
        <v>82</v>
      </c>
      <c r="G40" s="39" t="s">
        <v>77</v>
      </c>
      <c r="H40" s="39" t="s">
        <v>71</v>
      </c>
      <c r="I40" s="50">
        <v>7</v>
      </c>
      <c r="J40" s="51">
        <v>220000</v>
      </c>
      <c r="K40" s="51">
        <f t="shared" si="4"/>
        <v>220000</v>
      </c>
      <c r="L40" s="51">
        <f t="shared" si="1"/>
        <v>1540000</v>
      </c>
      <c r="M40" s="39">
        <v>10</v>
      </c>
      <c r="N40" s="51">
        <f t="shared" si="2"/>
        <v>154000</v>
      </c>
      <c r="O40" s="51">
        <f t="shared" si="3"/>
        <v>1386000</v>
      </c>
      <c r="P40" s="39" t="s">
        <v>44</v>
      </c>
      <c r="Q40" s="52" t="s">
        <v>82</v>
      </c>
      <c r="R40" s="27" t="s">
        <v>77</v>
      </c>
      <c r="S40" s="27" t="s">
        <v>71</v>
      </c>
    </row>
    <row r="41" spans="1:19" x14ac:dyDescent="0.3">
      <c r="A41" s="44" t="s">
        <v>178</v>
      </c>
      <c r="B41" s="45">
        <v>45360</v>
      </c>
      <c r="C41" s="38" t="s">
        <v>179</v>
      </c>
      <c r="D41" s="38" t="s">
        <v>75</v>
      </c>
      <c r="E41" s="38" t="s">
        <v>70</v>
      </c>
      <c r="F41" s="38" t="s">
        <v>41</v>
      </c>
      <c r="G41" s="38" t="s">
        <v>42</v>
      </c>
      <c r="H41" s="38" t="s">
        <v>66</v>
      </c>
      <c r="I41" s="46">
        <v>5</v>
      </c>
      <c r="J41" s="47">
        <v>35000</v>
      </c>
      <c r="K41" s="47">
        <f t="shared" si="4"/>
        <v>35000</v>
      </c>
      <c r="L41" s="47">
        <f t="shared" si="1"/>
        <v>175000</v>
      </c>
      <c r="M41" s="38">
        <v>5</v>
      </c>
      <c r="N41" s="47">
        <f t="shared" si="2"/>
        <v>8750</v>
      </c>
      <c r="O41" s="47">
        <f t="shared" si="3"/>
        <v>166250</v>
      </c>
      <c r="P41" s="38" t="s">
        <v>51</v>
      </c>
      <c r="Q41" s="43" t="s">
        <v>41</v>
      </c>
      <c r="R41" s="27" t="s">
        <v>42</v>
      </c>
      <c r="S41" s="27" t="s">
        <v>66</v>
      </c>
    </row>
    <row r="42" spans="1:19" x14ac:dyDescent="0.3">
      <c r="A42" s="48" t="s">
        <v>181</v>
      </c>
      <c r="B42" s="49">
        <v>45477</v>
      </c>
      <c r="C42" s="39" t="s">
        <v>182</v>
      </c>
      <c r="D42" s="39" t="s">
        <v>39</v>
      </c>
      <c r="E42" s="39" t="s">
        <v>49</v>
      </c>
      <c r="F42" s="39" t="s">
        <v>57</v>
      </c>
      <c r="G42" s="39" t="s">
        <v>42</v>
      </c>
      <c r="H42" s="39" t="s">
        <v>43</v>
      </c>
      <c r="I42" s="50">
        <v>17</v>
      </c>
      <c r="J42" s="51">
        <v>28000</v>
      </c>
      <c r="K42" s="51">
        <f t="shared" si="4"/>
        <v>28000</v>
      </c>
      <c r="L42" s="51">
        <f t="shared" si="1"/>
        <v>476000</v>
      </c>
      <c r="M42" s="39">
        <v>10</v>
      </c>
      <c r="N42" s="51">
        <f t="shared" si="2"/>
        <v>47600</v>
      </c>
      <c r="O42" s="51">
        <f t="shared" si="3"/>
        <v>428400</v>
      </c>
      <c r="P42" s="39" t="s">
        <v>51</v>
      </c>
      <c r="Q42" s="52" t="s">
        <v>57</v>
      </c>
      <c r="R42" s="27" t="s">
        <v>42</v>
      </c>
      <c r="S42" s="27" t="s">
        <v>43</v>
      </c>
    </row>
    <row r="43" spans="1:19" x14ac:dyDescent="0.3">
      <c r="A43" s="44" t="s">
        <v>183</v>
      </c>
      <c r="B43" s="45">
        <v>45629</v>
      </c>
      <c r="C43" s="38" t="s">
        <v>184</v>
      </c>
      <c r="D43" s="38" t="s">
        <v>154</v>
      </c>
      <c r="E43" s="38" t="s">
        <v>70</v>
      </c>
      <c r="F43" s="38" t="s">
        <v>92</v>
      </c>
      <c r="G43" s="38" t="s">
        <v>77</v>
      </c>
      <c r="H43" s="38" t="s">
        <v>66</v>
      </c>
      <c r="I43" s="46">
        <v>10</v>
      </c>
      <c r="J43" s="47">
        <v>450000</v>
      </c>
      <c r="K43" s="47">
        <f t="shared" si="4"/>
        <v>450000</v>
      </c>
      <c r="L43" s="47">
        <f t="shared" si="1"/>
        <v>4500000</v>
      </c>
      <c r="M43" s="38">
        <v>20</v>
      </c>
      <c r="N43" s="47">
        <f t="shared" si="2"/>
        <v>900000</v>
      </c>
      <c r="O43" s="47">
        <f t="shared" si="3"/>
        <v>3600000</v>
      </c>
      <c r="P43" s="38" t="s">
        <v>51</v>
      </c>
      <c r="Q43" s="43" t="s">
        <v>92</v>
      </c>
      <c r="R43" s="27" t="s">
        <v>77</v>
      </c>
      <c r="S43" s="27" t="s">
        <v>66</v>
      </c>
    </row>
    <row r="44" spans="1:19" x14ac:dyDescent="0.3">
      <c r="A44" s="48" t="s">
        <v>185</v>
      </c>
      <c r="B44" s="49">
        <v>45602</v>
      </c>
      <c r="C44" s="39" t="s">
        <v>186</v>
      </c>
      <c r="D44" s="39" t="s">
        <v>48</v>
      </c>
      <c r="E44" s="39" t="s">
        <v>40</v>
      </c>
      <c r="F44" s="39" t="s">
        <v>76</v>
      </c>
      <c r="G44" s="39" t="s">
        <v>77</v>
      </c>
      <c r="H44" s="39" t="s">
        <v>66</v>
      </c>
      <c r="I44" s="50">
        <v>3</v>
      </c>
      <c r="J44" s="51">
        <v>180000</v>
      </c>
      <c r="K44" s="51">
        <f t="shared" ref="K44:K75" si="5">J44</f>
        <v>180000</v>
      </c>
      <c r="L44" s="51">
        <f t="shared" si="1"/>
        <v>540000</v>
      </c>
      <c r="M44" s="39">
        <v>10</v>
      </c>
      <c r="N44" s="51">
        <f t="shared" si="2"/>
        <v>54000</v>
      </c>
      <c r="O44" s="51">
        <f t="shared" si="3"/>
        <v>486000</v>
      </c>
      <c r="P44" s="39" t="s">
        <v>131</v>
      </c>
      <c r="Q44" s="52" t="s">
        <v>76</v>
      </c>
      <c r="R44" s="27" t="s">
        <v>77</v>
      </c>
      <c r="S44" s="27" t="s">
        <v>66</v>
      </c>
    </row>
    <row r="45" spans="1:19" x14ac:dyDescent="0.3">
      <c r="A45" s="44" t="s">
        <v>187</v>
      </c>
      <c r="B45" s="45">
        <v>45360</v>
      </c>
      <c r="C45" s="38" t="s">
        <v>188</v>
      </c>
      <c r="D45" s="38" t="s">
        <v>141</v>
      </c>
      <c r="E45" s="38" t="s">
        <v>70</v>
      </c>
      <c r="F45" s="38" t="s">
        <v>61</v>
      </c>
      <c r="G45" s="38" t="s">
        <v>42</v>
      </c>
      <c r="H45" s="38" t="s">
        <v>66</v>
      </c>
      <c r="I45" s="46">
        <v>10</v>
      </c>
      <c r="J45" s="47">
        <v>22000</v>
      </c>
      <c r="K45" s="47">
        <f t="shared" si="5"/>
        <v>22000</v>
      </c>
      <c r="L45" s="47">
        <f t="shared" si="1"/>
        <v>220000</v>
      </c>
      <c r="M45" s="38">
        <v>0</v>
      </c>
      <c r="N45" s="47">
        <f t="shared" si="2"/>
        <v>0</v>
      </c>
      <c r="O45" s="47">
        <f t="shared" si="3"/>
        <v>220000</v>
      </c>
      <c r="P45" s="38" t="s">
        <v>51</v>
      </c>
      <c r="Q45" s="43" t="s">
        <v>61</v>
      </c>
      <c r="R45" s="27" t="s">
        <v>42</v>
      </c>
      <c r="S45" s="27" t="s">
        <v>66</v>
      </c>
    </row>
    <row r="46" spans="1:19" x14ac:dyDescent="0.3">
      <c r="A46" s="48" t="s">
        <v>189</v>
      </c>
      <c r="B46" s="49">
        <v>45416</v>
      </c>
      <c r="C46" s="39" t="s">
        <v>190</v>
      </c>
      <c r="D46" s="39" t="s">
        <v>981</v>
      </c>
      <c r="E46" s="39" t="s">
        <v>49</v>
      </c>
      <c r="F46" s="39" t="s">
        <v>50</v>
      </c>
      <c r="G46" s="39" t="s">
        <v>42</v>
      </c>
      <c r="H46" s="39" t="s">
        <v>43</v>
      </c>
      <c r="I46" s="50">
        <v>18</v>
      </c>
      <c r="J46" s="51">
        <v>18000</v>
      </c>
      <c r="K46" s="51">
        <f t="shared" si="5"/>
        <v>18000</v>
      </c>
      <c r="L46" s="51">
        <f t="shared" si="1"/>
        <v>324000</v>
      </c>
      <c r="M46" s="39">
        <v>0</v>
      </c>
      <c r="N46" s="51">
        <f t="shared" si="2"/>
        <v>0</v>
      </c>
      <c r="O46" s="51">
        <f t="shared" si="3"/>
        <v>324000</v>
      </c>
      <c r="P46" s="39" t="s">
        <v>51</v>
      </c>
      <c r="Q46" s="52" t="s">
        <v>50</v>
      </c>
      <c r="R46" s="27" t="s">
        <v>42</v>
      </c>
      <c r="S46" s="27" t="s">
        <v>43</v>
      </c>
    </row>
    <row r="47" spans="1:19" x14ac:dyDescent="0.3">
      <c r="A47" s="44" t="s">
        <v>191</v>
      </c>
      <c r="B47" s="45">
        <v>45609</v>
      </c>
      <c r="C47" s="38" t="s">
        <v>192</v>
      </c>
      <c r="D47" s="38" t="s">
        <v>65</v>
      </c>
      <c r="E47" s="38" t="s">
        <v>70</v>
      </c>
      <c r="F47" s="38" t="s">
        <v>76</v>
      </c>
      <c r="G47" s="38" t="s">
        <v>77</v>
      </c>
      <c r="H47" s="38" t="s">
        <v>66</v>
      </c>
      <c r="I47" s="46">
        <v>8</v>
      </c>
      <c r="J47" s="47">
        <v>180000</v>
      </c>
      <c r="K47" s="47">
        <f t="shared" si="5"/>
        <v>180000</v>
      </c>
      <c r="L47" s="47">
        <f t="shared" si="1"/>
        <v>1440000</v>
      </c>
      <c r="M47" s="38">
        <v>20</v>
      </c>
      <c r="N47" s="47">
        <f t="shared" si="2"/>
        <v>288000</v>
      </c>
      <c r="O47" s="47">
        <f t="shared" si="3"/>
        <v>1152000</v>
      </c>
      <c r="P47" s="38" t="s">
        <v>86</v>
      </c>
      <c r="Q47" s="43" t="s">
        <v>76</v>
      </c>
      <c r="R47" s="27" t="s">
        <v>77</v>
      </c>
      <c r="S47" s="27" t="s">
        <v>66</v>
      </c>
    </row>
    <row r="48" spans="1:19" x14ac:dyDescent="0.3">
      <c r="A48" s="48" t="s">
        <v>193</v>
      </c>
      <c r="B48" s="49">
        <v>45615</v>
      </c>
      <c r="C48" s="39" t="s">
        <v>194</v>
      </c>
      <c r="D48" s="39" t="s">
        <v>39</v>
      </c>
      <c r="E48" s="39" t="s">
        <v>195</v>
      </c>
      <c r="F48" s="39" t="s">
        <v>99</v>
      </c>
      <c r="G48" s="39" t="s">
        <v>77</v>
      </c>
      <c r="H48" s="39" t="s">
        <v>196</v>
      </c>
      <c r="I48" s="50">
        <v>9</v>
      </c>
      <c r="J48" s="51">
        <v>95000</v>
      </c>
      <c r="K48" s="51">
        <f t="shared" si="5"/>
        <v>95000</v>
      </c>
      <c r="L48" s="51">
        <f t="shared" si="1"/>
        <v>855000</v>
      </c>
      <c r="M48" s="39">
        <v>10</v>
      </c>
      <c r="N48" s="51">
        <f t="shared" si="2"/>
        <v>85500</v>
      </c>
      <c r="O48" s="51">
        <f t="shared" si="3"/>
        <v>769500</v>
      </c>
      <c r="P48" s="38" t="s">
        <v>51</v>
      </c>
      <c r="Q48" s="52" t="s">
        <v>99</v>
      </c>
      <c r="R48" s="27" t="s">
        <v>77</v>
      </c>
      <c r="S48" s="27" t="s">
        <v>196</v>
      </c>
    </row>
    <row r="49" spans="1:19" x14ac:dyDescent="0.3">
      <c r="A49" s="44" t="s">
        <v>198</v>
      </c>
      <c r="B49" s="45">
        <v>45479</v>
      </c>
      <c r="C49" s="38" t="s">
        <v>199</v>
      </c>
      <c r="D49" s="38" t="s">
        <v>118</v>
      </c>
      <c r="E49" s="38" t="s">
        <v>40</v>
      </c>
      <c r="F49" s="38" t="s">
        <v>57</v>
      </c>
      <c r="G49" s="38" t="s">
        <v>42</v>
      </c>
      <c r="H49" s="38" t="s">
        <v>71</v>
      </c>
      <c r="I49" s="46">
        <v>5</v>
      </c>
      <c r="J49" s="47">
        <v>28000</v>
      </c>
      <c r="K49" s="47">
        <f t="shared" si="5"/>
        <v>28000</v>
      </c>
      <c r="L49" s="47">
        <f t="shared" si="1"/>
        <v>140000</v>
      </c>
      <c r="M49" s="38">
        <v>0</v>
      </c>
      <c r="N49" s="47">
        <f t="shared" si="2"/>
        <v>0</v>
      </c>
      <c r="O49" s="47">
        <f t="shared" si="3"/>
        <v>140000</v>
      </c>
      <c r="P49" s="38" t="s">
        <v>51</v>
      </c>
      <c r="Q49" s="43" t="s">
        <v>57</v>
      </c>
      <c r="R49" s="27" t="s">
        <v>42</v>
      </c>
      <c r="S49" s="27" t="s">
        <v>71</v>
      </c>
    </row>
    <row r="50" spans="1:19" x14ac:dyDescent="0.3">
      <c r="A50" s="48" t="s">
        <v>200</v>
      </c>
      <c r="B50" s="49">
        <v>45295</v>
      </c>
      <c r="C50" s="39" t="s">
        <v>201</v>
      </c>
      <c r="D50" s="39" t="s">
        <v>39</v>
      </c>
      <c r="E50" s="39" t="s">
        <v>70</v>
      </c>
      <c r="F50" s="39" t="s">
        <v>92</v>
      </c>
      <c r="G50" s="39" t="s">
        <v>77</v>
      </c>
      <c r="H50" s="39" t="s">
        <v>71</v>
      </c>
      <c r="I50" s="50">
        <v>14</v>
      </c>
      <c r="J50" s="51">
        <v>450000</v>
      </c>
      <c r="K50" s="51">
        <f t="shared" si="5"/>
        <v>450000</v>
      </c>
      <c r="L50" s="51">
        <f t="shared" si="1"/>
        <v>6300000</v>
      </c>
      <c r="M50" s="39">
        <v>0</v>
      </c>
      <c r="N50" s="51">
        <f t="shared" si="2"/>
        <v>0</v>
      </c>
      <c r="O50" s="51">
        <f t="shared" si="3"/>
        <v>6300000</v>
      </c>
      <c r="P50" s="39" t="s">
        <v>86</v>
      </c>
      <c r="Q50" s="52" t="s">
        <v>92</v>
      </c>
      <c r="R50" s="27" t="s">
        <v>77</v>
      </c>
      <c r="S50" s="27" t="s">
        <v>71</v>
      </c>
    </row>
    <row r="51" spans="1:19" x14ac:dyDescent="0.3">
      <c r="A51" s="44" t="s">
        <v>202</v>
      </c>
      <c r="B51" s="45">
        <v>45449</v>
      </c>
      <c r="C51" s="38" t="s">
        <v>203</v>
      </c>
      <c r="D51" s="38" t="s">
        <v>55</v>
      </c>
      <c r="E51" s="38" t="s">
        <v>49</v>
      </c>
      <c r="F51" s="38" t="s">
        <v>82</v>
      </c>
      <c r="G51" s="38" t="s">
        <v>77</v>
      </c>
      <c r="H51" s="38" t="s">
        <v>43</v>
      </c>
      <c r="I51" s="46">
        <v>16</v>
      </c>
      <c r="J51" s="47">
        <v>220000</v>
      </c>
      <c r="K51" s="47">
        <f t="shared" si="5"/>
        <v>220000</v>
      </c>
      <c r="L51" s="47">
        <f t="shared" si="1"/>
        <v>3520000</v>
      </c>
      <c r="M51" s="38">
        <v>5</v>
      </c>
      <c r="N51" s="47">
        <f t="shared" si="2"/>
        <v>176000</v>
      </c>
      <c r="O51" s="47">
        <f t="shared" si="3"/>
        <v>3344000</v>
      </c>
      <c r="P51" s="38" t="s">
        <v>51</v>
      </c>
      <c r="Q51" s="43" t="s">
        <v>82</v>
      </c>
      <c r="R51" s="27" t="s">
        <v>77</v>
      </c>
      <c r="S51" s="27" t="s">
        <v>43</v>
      </c>
    </row>
    <row r="52" spans="1:19" x14ac:dyDescent="0.3">
      <c r="A52" s="48" t="s">
        <v>205</v>
      </c>
      <c r="B52" s="49">
        <v>45547</v>
      </c>
      <c r="C52" s="39" t="s">
        <v>206</v>
      </c>
      <c r="D52" s="39" t="s">
        <v>75</v>
      </c>
      <c r="E52" s="39" t="s">
        <v>207</v>
      </c>
      <c r="F52" s="39" t="s">
        <v>61</v>
      </c>
      <c r="G52" s="39" t="s">
        <v>42</v>
      </c>
      <c r="H52" s="39" t="s">
        <v>196</v>
      </c>
      <c r="I52" s="50">
        <v>1</v>
      </c>
      <c r="J52" s="51">
        <v>22000</v>
      </c>
      <c r="K52" s="51">
        <f t="shared" si="5"/>
        <v>22000</v>
      </c>
      <c r="L52" s="51">
        <f t="shared" si="1"/>
        <v>22000</v>
      </c>
      <c r="M52" s="39">
        <v>0</v>
      </c>
      <c r="N52" s="51">
        <f t="shared" si="2"/>
        <v>0</v>
      </c>
      <c r="O52" s="51">
        <f t="shared" si="3"/>
        <v>22000</v>
      </c>
      <c r="P52" s="39" t="s">
        <v>164</v>
      </c>
      <c r="Q52" s="52" t="s">
        <v>61</v>
      </c>
      <c r="R52" s="27" t="s">
        <v>42</v>
      </c>
      <c r="S52" s="27" t="s">
        <v>196</v>
      </c>
    </row>
    <row r="53" spans="1:19" x14ac:dyDescent="0.3">
      <c r="A53" s="44" t="s">
        <v>209</v>
      </c>
      <c r="B53" s="45">
        <v>45574</v>
      </c>
      <c r="C53" s="38" t="s">
        <v>210</v>
      </c>
      <c r="D53" s="38" t="s">
        <v>39</v>
      </c>
      <c r="E53" s="38" t="s">
        <v>49</v>
      </c>
      <c r="F53" s="38" t="s">
        <v>99</v>
      </c>
      <c r="G53" s="38" t="s">
        <v>77</v>
      </c>
      <c r="H53" s="38" t="s">
        <v>71</v>
      </c>
      <c r="I53" s="46">
        <v>2</v>
      </c>
      <c r="J53" s="47">
        <v>95000</v>
      </c>
      <c r="K53" s="47">
        <f t="shared" si="5"/>
        <v>95000</v>
      </c>
      <c r="L53" s="47">
        <f t="shared" si="1"/>
        <v>190000</v>
      </c>
      <c r="M53" s="38">
        <v>15</v>
      </c>
      <c r="N53" s="47">
        <f t="shared" si="2"/>
        <v>28500</v>
      </c>
      <c r="O53" s="47">
        <f t="shared" si="3"/>
        <v>161500</v>
      </c>
      <c r="P53" s="38" t="s">
        <v>51</v>
      </c>
      <c r="Q53" s="43" t="s">
        <v>99</v>
      </c>
      <c r="R53" s="27" t="s">
        <v>77</v>
      </c>
      <c r="S53" s="27" t="s">
        <v>71</v>
      </c>
    </row>
    <row r="54" spans="1:19" x14ac:dyDescent="0.3">
      <c r="A54" s="48" t="s">
        <v>211</v>
      </c>
      <c r="B54" s="49">
        <v>45495</v>
      </c>
      <c r="C54" s="39" t="s">
        <v>212</v>
      </c>
      <c r="D54" s="39" t="s">
        <v>81</v>
      </c>
      <c r="E54" s="39" t="s">
        <v>70</v>
      </c>
      <c r="F54" s="39" t="s">
        <v>82</v>
      </c>
      <c r="G54" s="39" t="s">
        <v>77</v>
      </c>
      <c r="H54" s="39" t="s">
        <v>66</v>
      </c>
      <c r="I54" s="50">
        <v>19</v>
      </c>
      <c r="J54" s="51">
        <v>220000</v>
      </c>
      <c r="K54" s="51">
        <f t="shared" si="5"/>
        <v>220000</v>
      </c>
      <c r="L54" s="51">
        <f t="shared" si="1"/>
        <v>4180000</v>
      </c>
      <c r="M54" s="39">
        <v>20</v>
      </c>
      <c r="N54" s="51">
        <f t="shared" si="2"/>
        <v>836000</v>
      </c>
      <c r="O54" s="51">
        <f t="shared" si="3"/>
        <v>3344000</v>
      </c>
      <c r="P54" s="39" t="s">
        <v>44</v>
      </c>
      <c r="Q54" s="52" t="s">
        <v>82</v>
      </c>
      <c r="R54" s="27" t="s">
        <v>77</v>
      </c>
      <c r="S54" s="27" t="s">
        <v>66</v>
      </c>
    </row>
    <row r="55" spans="1:19" x14ac:dyDescent="0.3">
      <c r="A55" s="44" t="s">
        <v>213</v>
      </c>
      <c r="B55" s="45">
        <v>45622</v>
      </c>
      <c r="C55" s="38" t="s">
        <v>214</v>
      </c>
      <c r="D55" s="38" t="s">
        <v>39</v>
      </c>
      <c r="E55" s="38" t="s">
        <v>70</v>
      </c>
      <c r="F55" s="38" t="s">
        <v>76</v>
      </c>
      <c r="G55" s="38" t="s">
        <v>77</v>
      </c>
      <c r="H55" s="38" t="s">
        <v>71</v>
      </c>
      <c r="I55" s="46">
        <v>18</v>
      </c>
      <c r="J55" s="47">
        <v>180000</v>
      </c>
      <c r="K55" s="47">
        <f t="shared" si="5"/>
        <v>180000</v>
      </c>
      <c r="L55" s="47">
        <f t="shared" si="1"/>
        <v>3240000</v>
      </c>
      <c r="M55" s="38">
        <v>5</v>
      </c>
      <c r="N55" s="47">
        <f t="shared" si="2"/>
        <v>162000</v>
      </c>
      <c r="O55" s="47">
        <f t="shared" si="3"/>
        <v>3078000</v>
      </c>
      <c r="P55" s="38" t="s">
        <v>131</v>
      </c>
      <c r="Q55" s="43" t="s">
        <v>76</v>
      </c>
      <c r="R55" s="27" t="s">
        <v>77</v>
      </c>
      <c r="S55" s="27" t="s">
        <v>71</v>
      </c>
    </row>
    <row r="56" spans="1:19" x14ac:dyDescent="0.3">
      <c r="A56" s="48" t="s">
        <v>215</v>
      </c>
      <c r="B56" s="49">
        <v>45474</v>
      </c>
      <c r="C56" s="39" t="s">
        <v>216</v>
      </c>
      <c r="D56" s="39" t="s">
        <v>75</v>
      </c>
      <c r="E56" s="39" t="s">
        <v>40</v>
      </c>
      <c r="F56" s="39" t="s">
        <v>76</v>
      </c>
      <c r="G56" s="39" t="s">
        <v>77</v>
      </c>
      <c r="H56" s="39" t="s">
        <v>71</v>
      </c>
      <c r="I56" s="50">
        <v>3</v>
      </c>
      <c r="J56" s="51">
        <v>180000</v>
      </c>
      <c r="K56" s="51">
        <f t="shared" si="5"/>
        <v>180000</v>
      </c>
      <c r="L56" s="51">
        <f t="shared" si="1"/>
        <v>540000</v>
      </c>
      <c r="M56" s="39">
        <v>20</v>
      </c>
      <c r="N56" s="51">
        <f t="shared" si="2"/>
        <v>108000</v>
      </c>
      <c r="O56" s="51">
        <f t="shared" si="3"/>
        <v>432000</v>
      </c>
      <c r="P56" s="39" t="s">
        <v>86</v>
      </c>
      <c r="Q56" s="52" t="s">
        <v>76</v>
      </c>
      <c r="R56" s="27" t="s">
        <v>77</v>
      </c>
      <c r="S56" s="27" t="s">
        <v>71</v>
      </c>
    </row>
    <row r="57" spans="1:19" x14ac:dyDescent="0.3">
      <c r="A57" s="48" t="s">
        <v>217</v>
      </c>
      <c r="B57" s="49">
        <v>45355</v>
      </c>
      <c r="C57" s="39" t="s">
        <v>218</v>
      </c>
      <c r="D57" s="39" t="s">
        <v>75</v>
      </c>
      <c r="E57" s="39" t="s">
        <v>49</v>
      </c>
      <c r="F57" s="39" t="s">
        <v>92</v>
      </c>
      <c r="G57" s="39" t="s">
        <v>77</v>
      </c>
      <c r="H57" s="39" t="s">
        <v>66</v>
      </c>
      <c r="I57" s="50">
        <v>19</v>
      </c>
      <c r="J57" s="51">
        <v>450000</v>
      </c>
      <c r="K57" s="51">
        <f t="shared" si="5"/>
        <v>450000</v>
      </c>
      <c r="L57" s="51">
        <f t="shared" si="1"/>
        <v>8550000</v>
      </c>
      <c r="M57" s="39">
        <v>0</v>
      </c>
      <c r="N57" s="51">
        <f t="shared" si="2"/>
        <v>0</v>
      </c>
      <c r="O57" s="51">
        <f t="shared" si="3"/>
        <v>8550000</v>
      </c>
      <c r="P57" s="39" t="s">
        <v>51</v>
      </c>
      <c r="Q57" s="52" t="s">
        <v>92</v>
      </c>
      <c r="R57" s="27" t="s">
        <v>77</v>
      </c>
      <c r="S57" s="27" t="s">
        <v>66</v>
      </c>
    </row>
    <row r="58" spans="1:19" x14ac:dyDescent="0.3">
      <c r="A58" s="44" t="s">
        <v>219</v>
      </c>
      <c r="B58" s="45">
        <v>45545</v>
      </c>
      <c r="C58" s="38" t="s">
        <v>220</v>
      </c>
      <c r="D58" s="38" t="s">
        <v>154</v>
      </c>
      <c r="E58" s="38" t="s">
        <v>49</v>
      </c>
      <c r="F58" s="38" t="s">
        <v>76</v>
      </c>
      <c r="G58" s="38" t="s">
        <v>77</v>
      </c>
      <c r="H58" s="38" t="s">
        <v>43</v>
      </c>
      <c r="I58" s="46">
        <v>3</v>
      </c>
      <c r="J58" s="47">
        <v>180000</v>
      </c>
      <c r="K58" s="47">
        <f t="shared" si="5"/>
        <v>180000</v>
      </c>
      <c r="L58" s="47">
        <f t="shared" si="1"/>
        <v>540000</v>
      </c>
      <c r="M58" s="38">
        <v>10</v>
      </c>
      <c r="N58" s="47">
        <f t="shared" si="2"/>
        <v>54000</v>
      </c>
      <c r="O58" s="47">
        <f t="shared" si="3"/>
        <v>486000</v>
      </c>
      <c r="P58" s="38" t="s">
        <v>86</v>
      </c>
      <c r="Q58" s="43" t="s">
        <v>76</v>
      </c>
      <c r="R58" s="27" t="s">
        <v>77</v>
      </c>
      <c r="S58" s="27" t="s">
        <v>43</v>
      </c>
    </row>
    <row r="59" spans="1:19" x14ac:dyDescent="0.3">
      <c r="A59" s="48" t="s">
        <v>222</v>
      </c>
      <c r="B59" s="49">
        <v>45530</v>
      </c>
      <c r="C59" s="39" t="s">
        <v>223</v>
      </c>
      <c r="D59" s="39" t="s">
        <v>141</v>
      </c>
      <c r="E59" s="39" t="s">
        <v>70</v>
      </c>
      <c r="F59" s="39" t="s">
        <v>50</v>
      </c>
      <c r="G59" s="39" t="s">
        <v>42</v>
      </c>
      <c r="H59" s="39" t="s">
        <v>66</v>
      </c>
      <c r="I59" s="50">
        <v>3</v>
      </c>
      <c r="J59" s="51">
        <v>18000</v>
      </c>
      <c r="K59" s="51">
        <f t="shared" si="5"/>
        <v>18000</v>
      </c>
      <c r="L59" s="51">
        <f t="shared" si="1"/>
        <v>54000</v>
      </c>
      <c r="M59" s="39">
        <v>10</v>
      </c>
      <c r="N59" s="51">
        <f t="shared" si="2"/>
        <v>5400</v>
      </c>
      <c r="O59" s="51">
        <f t="shared" si="3"/>
        <v>48600</v>
      </c>
      <c r="P59" s="39" t="s">
        <v>51</v>
      </c>
      <c r="Q59" s="52" t="s">
        <v>50</v>
      </c>
      <c r="R59" s="27" t="s">
        <v>42</v>
      </c>
      <c r="S59" s="27" t="s">
        <v>66</v>
      </c>
    </row>
    <row r="60" spans="1:19" x14ac:dyDescent="0.3">
      <c r="A60" s="44" t="s">
        <v>224</v>
      </c>
      <c r="B60" s="45">
        <v>45634</v>
      </c>
      <c r="C60" s="38" t="s">
        <v>225</v>
      </c>
      <c r="D60" s="38" t="s">
        <v>39</v>
      </c>
      <c r="E60" s="38" t="s">
        <v>70</v>
      </c>
      <c r="F60" s="38" t="s">
        <v>92</v>
      </c>
      <c r="G60" s="38" t="s">
        <v>77</v>
      </c>
      <c r="H60" s="38" t="s">
        <v>66</v>
      </c>
      <c r="I60" s="46">
        <v>11</v>
      </c>
      <c r="J60" s="47">
        <v>450000</v>
      </c>
      <c r="K60" s="47">
        <f t="shared" si="5"/>
        <v>450000</v>
      </c>
      <c r="L60" s="47">
        <f t="shared" si="1"/>
        <v>4950000</v>
      </c>
      <c r="M60" s="38">
        <v>15</v>
      </c>
      <c r="N60" s="47">
        <f t="shared" si="2"/>
        <v>742500</v>
      </c>
      <c r="O60" s="47">
        <f t="shared" si="3"/>
        <v>4207500</v>
      </c>
      <c r="P60" s="38" t="s">
        <v>44</v>
      </c>
      <c r="Q60" s="43" t="s">
        <v>92</v>
      </c>
      <c r="R60" s="27" t="s">
        <v>77</v>
      </c>
      <c r="S60" s="27" t="s">
        <v>66</v>
      </c>
    </row>
    <row r="61" spans="1:19" x14ac:dyDescent="0.3">
      <c r="A61" s="48" t="s">
        <v>226</v>
      </c>
      <c r="B61" s="49">
        <v>45636</v>
      </c>
      <c r="C61" s="39" t="s">
        <v>227</v>
      </c>
      <c r="D61" s="39" t="s">
        <v>75</v>
      </c>
      <c r="E61" s="39" t="s">
        <v>56</v>
      </c>
      <c r="F61" s="39" t="s">
        <v>82</v>
      </c>
      <c r="G61" s="39" t="s">
        <v>77</v>
      </c>
      <c r="H61" s="39" t="s">
        <v>66</v>
      </c>
      <c r="I61" s="50">
        <v>19</v>
      </c>
      <c r="J61" s="51">
        <v>220000</v>
      </c>
      <c r="K61" s="51">
        <f t="shared" si="5"/>
        <v>220000</v>
      </c>
      <c r="L61" s="51">
        <f t="shared" si="1"/>
        <v>4180000</v>
      </c>
      <c r="M61" s="39">
        <v>0</v>
      </c>
      <c r="N61" s="51">
        <f t="shared" si="2"/>
        <v>0</v>
      </c>
      <c r="O61" s="51">
        <f t="shared" si="3"/>
        <v>4180000</v>
      </c>
      <c r="P61" s="39" t="s">
        <v>86</v>
      </c>
      <c r="Q61" s="52" t="s">
        <v>82</v>
      </c>
      <c r="R61" s="27" t="s">
        <v>77</v>
      </c>
      <c r="S61" s="27" t="s">
        <v>66</v>
      </c>
    </row>
    <row r="62" spans="1:19" x14ac:dyDescent="0.3">
      <c r="A62" s="44" t="s">
        <v>228</v>
      </c>
      <c r="B62" s="45">
        <v>45401</v>
      </c>
      <c r="C62" s="38" t="s">
        <v>229</v>
      </c>
      <c r="D62" s="38" t="s">
        <v>118</v>
      </c>
      <c r="E62" s="38" t="s">
        <v>56</v>
      </c>
      <c r="F62" s="38" t="s">
        <v>61</v>
      </c>
      <c r="G62" s="38" t="s">
        <v>42</v>
      </c>
      <c r="H62" s="38" t="s">
        <v>71</v>
      </c>
      <c r="I62" s="46">
        <v>7</v>
      </c>
      <c r="J62" s="47">
        <v>22000</v>
      </c>
      <c r="K62" s="47">
        <f t="shared" si="5"/>
        <v>22000</v>
      </c>
      <c r="L62" s="47">
        <f t="shared" si="1"/>
        <v>154000</v>
      </c>
      <c r="M62" s="38">
        <v>15</v>
      </c>
      <c r="N62" s="47">
        <f t="shared" si="2"/>
        <v>23100</v>
      </c>
      <c r="O62" s="47">
        <f t="shared" si="3"/>
        <v>130900</v>
      </c>
      <c r="P62" s="38" t="s">
        <v>86</v>
      </c>
      <c r="Q62" s="43" t="s">
        <v>61</v>
      </c>
      <c r="R62" s="27" t="s">
        <v>42</v>
      </c>
      <c r="S62" s="27" t="s">
        <v>71</v>
      </c>
    </row>
    <row r="63" spans="1:19" x14ac:dyDescent="0.3">
      <c r="A63" s="48" t="s">
        <v>230</v>
      </c>
      <c r="B63" s="49">
        <v>45513</v>
      </c>
      <c r="C63" s="39" t="s">
        <v>231</v>
      </c>
      <c r="D63" s="39" t="s">
        <v>141</v>
      </c>
      <c r="E63" s="39" t="s">
        <v>56</v>
      </c>
      <c r="F63" s="39" t="s">
        <v>99</v>
      </c>
      <c r="G63" s="39" t="s">
        <v>77</v>
      </c>
      <c r="H63" s="39" t="s">
        <v>66</v>
      </c>
      <c r="I63" s="50">
        <v>1</v>
      </c>
      <c r="J63" s="51">
        <v>95000</v>
      </c>
      <c r="K63" s="51">
        <f t="shared" si="5"/>
        <v>95000</v>
      </c>
      <c r="L63" s="51">
        <f t="shared" si="1"/>
        <v>95000</v>
      </c>
      <c r="M63" s="39">
        <v>10</v>
      </c>
      <c r="N63" s="51">
        <f t="shared" si="2"/>
        <v>9500</v>
      </c>
      <c r="O63" s="51">
        <f t="shared" si="3"/>
        <v>85500</v>
      </c>
      <c r="P63" s="39" t="s">
        <v>131</v>
      </c>
      <c r="Q63" s="52" t="s">
        <v>99</v>
      </c>
      <c r="R63" s="27" t="s">
        <v>77</v>
      </c>
      <c r="S63" s="27" t="s">
        <v>66</v>
      </c>
    </row>
    <row r="64" spans="1:19" x14ac:dyDescent="0.3">
      <c r="A64" s="44" t="s">
        <v>233</v>
      </c>
      <c r="B64" s="45">
        <v>45506</v>
      </c>
      <c r="C64" s="38" t="s">
        <v>234</v>
      </c>
      <c r="D64" s="38" t="s">
        <v>48</v>
      </c>
      <c r="E64" s="38" t="s">
        <v>49</v>
      </c>
      <c r="F64" s="38" t="s">
        <v>61</v>
      </c>
      <c r="G64" s="38" t="s">
        <v>42</v>
      </c>
      <c r="H64" s="38" t="s">
        <v>66</v>
      </c>
      <c r="I64" s="46">
        <v>13</v>
      </c>
      <c r="J64" s="47">
        <v>22000</v>
      </c>
      <c r="K64" s="47">
        <f t="shared" si="5"/>
        <v>22000</v>
      </c>
      <c r="L64" s="47">
        <f t="shared" si="1"/>
        <v>286000</v>
      </c>
      <c r="M64" s="38">
        <v>20</v>
      </c>
      <c r="N64" s="47">
        <f t="shared" si="2"/>
        <v>57200</v>
      </c>
      <c r="O64" s="47">
        <f t="shared" si="3"/>
        <v>228800</v>
      </c>
      <c r="P64" s="38" t="s">
        <v>51</v>
      </c>
      <c r="Q64" s="43" t="s">
        <v>61</v>
      </c>
      <c r="R64" s="27" t="s">
        <v>42</v>
      </c>
      <c r="S64" s="27" t="s">
        <v>66</v>
      </c>
    </row>
    <row r="65" spans="1:19" x14ac:dyDescent="0.3">
      <c r="A65" s="48" t="s">
        <v>235</v>
      </c>
      <c r="B65" s="49">
        <v>45467</v>
      </c>
      <c r="C65" s="39" t="s">
        <v>236</v>
      </c>
      <c r="D65" s="39" t="s">
        <v>39</v>
      </c>
      <c r="E65" s="39" t="s">
        <v>70</v>
      </c>
      <c r="F65" s="39" t="s">
        <v>99</v>
      </c>
      <c r="G65" s="39" t="s">
        <v>77</v>
      </c>
      <c r="H65" s="39" t="s">
        <v>238</v>
      </c>
      <c r="I65" s="50">
        <v>16</v>
      </c>
      <c r="J65" s="51">
        <v>95000</v>
      </c>
      <c r="K65" s="51">
        <f t="shared" si="5"/>
        <v>95000</v>
      </c>
      <c r="L65" s="51">
        <f t="shared" si="1"/>
        <v>1520000</v>
      </c>
      <c r="M65" s="39">
        <v>0</v>
      </c>
      <c r="N65" s="51">
        <f t="shared" si="2"/>
        <v>0</v>
      </c>
      <c r="O65" s="51">
        <f t="shared" si="3"/>
        <v>1520000</v>
      </c>
      <c r="P65" s="39" t="s">
        <v>239</v>
      </c>
      <c r="Q65" s="52" t="s">
        <v>99</v>
      </c>
      <c r="R65" s="27" t="s">
        <v>77</v>
      </c>
      <c r="S65" s="27" t="s">
        <v>238</v>
      </c>
    </row>
    <row r="66" spans="1:19" x14ac:dyDescent="0.3">
      <c r="A66" s="44" t="s">
        <v>241</v>
      </c>
      <c r="B66" s="45">
        <v>45544</v>
      </c>
      <c r="C66" s="38" t="s">
        <v>242</v>
      </c>
      <c r="D66" s="38" t="s">
        <v>65</v>
      </c>
      <c r="E66" s="39" t="s">
        <v>40</v>
      </c>
      <c r="F66" s="38" t="s">
        <v>61</v>
      </c>
      <c r="G66" s="38" t="s">
        <v>42</v>
      </c>
      <c r="H66" s="38" t="s">
        <v>71</v>
      </c>
      <c r="I66" s="46">
        <v>14</v>
      </c>
      <c r="J66" s="47">
        <v>22000</v>
      </c>
      <c r="K66" s="47">
        <f t="shared" si="5"/>
        <v>22000</v>
      </c>
      <c r="L66" s="47">
        <f t="shared" ref="L66:L129" si="6">I66*K66</f>
        <v>308000</v>
      </c>
      <c r="M66" s="38">
        <v>0</v>
      </c>
      <c r="N66" s="47">
        <f t="shared" ref="N66:N129" si="7">M66/100 * L66</f>
        <v>0</v>
      </c>
      <c r="O66" s="47">
        <f t="shared" ref="O66:O129" si="8">L66-N66</f>
        <v>308000</v>
      </c>
      <c r="P66" s="38" t="s">
        <v>131</v>
      </c>
      <c r="Q66" s="43" t="s">
        <v>61</v>
      </c>
      <c r="R66" s="27" t="s">
        <v>42</v>
      </c>
      <c r="S66" s="27" t="s">
        <v>71</v>
      </c>
    </row>
    <row r="67" spans="1:19" x14ac:dyDescent="0.3">
      <c r="A67" s="48" t="s">
        <v>243</v>
      </c>
      <c r="B67" s="49">
        <v>45362</v>
      </c>
      <c r="C67" s="39" t="s">
        <v>244</v>
      </c>
      <c r="D67" s="39" t="s">
        <v>118</v>
      </c>
      <c r="E67" s="39" t="s">
        <v>56</v>
      </c>
      <c r="F67" s="39" t="s">
        <v>92</v>
      </c>
      <c r="G67" s="39" t="s">
        <v>77</v>
      </c>
      <c r="H67" s="39" t="s">
        <v>71</v>
      </c>
      <c r="I67" s="50">
        <v>20</v>
      </c>
      <c r="J67" s="51">
        <v>450000</v>
      </c>
      <c r="K67" s="51">
        <f t="shared" si="5"/>
        <v>450000</v>
      </c>
      <c r="L67" s="51">
        <f t="shared" si="6"/>
        <v>9000000</v>
      </c>
      <c r="M67" s="39">
        <v>0</v>
      </c>
      <c r="N67" s="51">
        <f t="shared" si="7"/>
        <v>0</v>
      </c>
      <c r="O67" s="51">
        <f t="shared" si="8"/>
        <v>9000000</v>
      </c>
      <c r="P67" s="39" t="s">
        <v>86</v>
      </c>
      <c r="Q67" s="52" t="s">
        <v>92</v>
      </c>
      <c r="R67" s="27" t="s">
        <v>77</v>
      </c>
      <c r="S67" s="27" t="s">
        <v>71</v>
      </c>
    </row>
    <row r="68" spans="1:19" x14ac:dyDescent="0.3">
      <c r="A68" s="48" t="s">
        <v>245</v>
      </c>
      <c r="B68" s="49">
        <v>45349</v>
      </c>
      <c r="C68" s="39" t="s">
        <v>246</v>
      </c>
      <c r="D68" s="39" t="s">
        <v>981</v>
      </c>
      <c r="E68" s="39" t="s">
        <v>56</v>
      </c>
      <c r="F68" s="39" t="s">
        <v>76</v>
      </c>
      <c r="G68" s="39" t="s">
        <v>77</v>
      </c>
      <c r="H68" s="39" t="s">
        <v>66</v>
      </c>
      <c r="I68" s="50">
        <v>17</v>
      </c>
      <c r="J68" s="51">
        <v>180000</v>
      </c>
      <c r="K68" s="51">
        <f t="shared" si="5"/>
        <v>180000</v>
      </c>
      <c r="L68" s="51">
        <f t="shared" si="6"/>
        <v>3060000</v>
      </c>
      <c r="M68" s="39">
        <v>0</v>
      </c>
      <c r="N68" s="51">
        <f t="shared" si="7"/>
        <v>0</v>
      </c>
      <c r="O68" s="51">
        <f t="shared" si="8"/>
        <v>3060000</v>
      </c>
      <c r="P68" s="39" t="s">
        <v>51</v>
      </c>
      <c r="Q68" s="52" t="s">
        <v>76</v>
      </c>
      <c r="R68" s="27" t="s">
        <v>77</v>
      </c>
      <c r="S68" s="27" t="s">
        <v>66</v>
      </c>
    </row>
    <row r="69" spans="1:19" x14ac:dyDescent="0.3">
      <c r="A69" s="44" t="s">
        <v>247</v>
      </c>
      <c r="B69" s="45">
        <v>45554</v>
      </c>
      <c r="C69" s="38" t="s">
        <v>248</v>
      </c>
      <c r="D69" s="38" t="s">
        <v>65</v>
      </c>
      <c r="E69" s="38" t="s">
        <v>173</v>
      </c>
      <c r="F69" s="38" t="s">
        <v>61</v>
      </c>
      <c r="G69" s="38" t="s">
        <v>42</v>
      </c>
      <c r="H69" s="38" t="s">
        <v>43</v>
      </c>
      <c r="I69" s="46">
        <v>5</v>
      </c>
      <c r="J69" s="47">
        <v>22000</v>
      </c>
      <c r="K69" s="47">
        <f t="shared" si="5"/>
        <v>22000</v>
      </c>
      <c r="L69" s="47">
        <f t="shared" si="6"/>
        <v>110000</v>
      </c>
      <c r="M69" s="38">
        <v>20</v>
      </c>
      <c r="N69" s="47">
        <f t="shared" si="7"/>
        <v>22000</v>
      </c>
      <c r="O69" s="47">
        <f t="shared" si="8"/>
        <v>88000</v>
      </c>
      <c r="P69" s="38" t="s">
        <v>164</v>
      </c>
      <c r="Q69" s="43" t="s">
        <v>61</v>
      </c>
      <c r="R69" s="27" t="s">
        <v>42</v>
      </c>
      <c r="S69" s="27" t="s">
        <v>43</v>
      </c>
    </row>
    <row r="70" spans="1:19" x14ac:dyDescent="0.3">
      <c r="A70" s="48" t="s">
        <v>249</v>
      </c>
      <c r="B70" s="49">
        <v>45308</v>
      </c>
      <c r="C70" s="39" t="s">
        <v>250</v>
      </c>
      <c r="D70" s="39" t="s">
        <v>75</v>
      </c>
      <c r="E70" s="39" t="s">
        <v>56</v>
      </c>
      <c r="F70" s="39" t="s">
        <v>92</v>
      </c>
      <c r="G70" s="39" t="s">
        <v>77</v>
      </c>
      <c r="H70" s="39" t="s">
        <v>43</v>
      </c>
      <c r="I70" s="50">
        <v>19</v>
      </c>
      <c r="J70" s="51">
        <v>450000</v>
      </c>
      <c r="K70" s="51">
        <f t="shared" si="5"/>
        <v>450000</v>
      </c>
      <c r="L70" s="51">
        <f t="shared" si="6"/>
        <v>8550000</v>
      </c>
      <c r="M70" s="39">
        <v>0</v>
      </c>
      <c r="N70" s="51">
        <f t="shared" si="7"/>
        <v>0</v>
      </c>
      <c r="O70" s="51">
        <f t="shared" si="8"/>
        <v>8550000</v>
      </c>
      <c r="P70" s="39" t="s">
        <v>51</v>
      </c>
      <c r="Q70" s="52" t="s">
        <v>92</v>
      </c>
      <c r="R70" s="27" t="s">
        <v>77</v>
      </c>
      <c r="S70" s="27" t="s">
        <v>43</v>
      </c>
    </row>
    <row r="71" spans="1:19" x14ac:dyDescent="0.3">
      <c r="A71" s="44" t="s">
        <v>251</v>
      </c>
      <c r="B71" s="45">
        <v>45525</v>
      </c>
      <c r="C71" s="38" t="s">
        <v>252</v>
      </c>
      <c r="D71" s="38" t="s">
        <v>55</v>
      </c>
      <c r="E71" s="38" t="s">
        <v>40</v>
      </c>
      <c r="F71" s="38" t="s">
        <v>92</v>
      </c>
      <c r="G71" s="38" t="s">
        <v>77</v>
      </c>
      <c r="H71" s="38" t="s">
        <v>66</v>
      </c>
      <c r="I71" s="46">
        <v>11</v>
      </c>
      <c r="J71" s="47">
        <v>450000</v>
      </c>
      <c r="K71" s="47">
        <f t="shared" si="5"/>
        <v>450000</v>
      </c>
      <c r="L71" s="47">
        <f t="shared" si="6"/>
        <v>4950000</v>
      </c>
      <c r="M71" s="38">
        <v>0</v>
      </c>
      <c r="N71" s="47">
        <f t="shared" si="7"/>
        <v>0</v>
      </c>
      <c r="O71" s="47">
        <f t="shared" si="8"/>
        <v>4950000</v>
      </c>
      <c r="P71" s="38" t="s">
        <v>51</v>
      </c>
      <c r="Q71" s="43" t="s">
        <v>92</v>
      </c>
      <c r="R71" s="27" t="s">
        <v>77</v>
      </c>
      <c r="S71" s="27" t="s">
        <v>66</v>
      </c>
    </row>
    <row r="72" spans="1:19" x14ac:dyDescent="0.3">
      <c r="A72" s="48" t="s">
        <v>253</v>
      </c>
      <c r="B72" s="49">
        <v>45439</v>
      </c>
      <c r="C72" s="39" t="s">
        <v>254</v>
      </c>
      <c r="D72" s="39" t="s">
        <v>48</v>
      </c>
      <c r="E72" s="39" t="s">
        <v>70</v>
      </c>
      <c r="F72" s="39" t="s">
        <v>99</v>
      </c>
      <c r="G72" s="39" t="s">
        <v>77</v>
      </c>
      <c r="H72" s="39" t="s">
        <v>71</v>
      </c>
      <c r="I72" s="50">
        <v>13</v>
      </c>
      <c r="J72" s="51">
        <v>95000</v>
      </c>
      <c r="K72" s="51">
        <f t="shared" si="5"/>
        <v>95000</v>
      </c>
      <c r="L72" s="51">
        <f t="shared" si="6"/>
        <v>1235000</v>
      </c>
      <c r="M72" s="39">
        <v>5</v>
      </c>
      <c r="N72" s="51">
        <f t="shared" si="7"/>
        <v>61750</v>
      </c>
      <c r="O72" s="51">
        <f t="shared" si="8"/>
        <v>1173250</v>
      </c>
      <c r="P72" s="39" t="s">
        <v>51</v>
      </c>
      <c r="Q72" s="52" t="s">
        <v>99</v>
      </c>
      <c r="R72" s="27" t="s">
        <v>77</v>
      </c>
      <c r="S72" s="27" t="s">
        <v>71</v>
      </c>
    </row>
    <row r="73" spans="1:19" x14ac:dyDescent="0.3">
      <c r="A73" s="44" t="s">
        <v>255</v>
      </c>
      <c r="B73" s="45">
        <v>45429</v>
      </c>
      <c r="C73" s="38" t="s">
        <v>256</v>
      </c>
      <c r="D73" s="38" t="s">
        <v>81</v>
      </c>
      <c r="E73" s="38" t="s">
        <v>70</v>
      </c>
      <c r="F73" s="38" t="s">
        <v>92</v>
      </c>
      <c r="G73" s="38" t="s">
        <v>77</v>
      </c>
      <c r="H73" s="38" t="s">
        <v>71</v>
      </c>
      <c r="I73" s="46">
        <v>2</v>
      </c>
      <c r="J73" s="47">
        <v>450000</v>
      </c>
      <c r="K73" s="47">
        <f t="shared" si="5"/>
        <v>450000</v>
      </c>
      <c r="L73" s="47">
        <f t="shared" si="6"/>
        <v>900000</v>
      </c>
      <c r="M73" s="38">
        <v>0</v>
      </c>
      <c r="N73" s="47">
        <f t="shared" si="7"/>
        <v>0</v>
      </c>
      <c r="O73" s="47">
        <f t="shared" si="8"/>
        <v>900000</v>
      </c>
      <c r="P73" s="38" t="s">
        <v>44</v>
      </c>
      <c r="Q73" s="43" t="s">
        <v>92</v>
      </c>
      <c r="R73" s="27" t="s">
        <v>77</v>
      </c>
      <c r="S73" s="27" t="s">
        <v>71</v>
      </c>
    </row>
    <row r="74" spans="1:19" x14ac:dyDescent="0.3">
      <c r="A74" s="48" t="s">
        <v>257</v>
      </c>
      <c r="B74" s="49">
        <v>45355</v>
      </c>
      <c r="C74" s="39" t="s">
        <v>258</v>
      </c>
      <c r="D74" s="39" t="s">
        <v>81</v>
      </c>
      <c r="E74" s="39" t="s">
        <v>40</v>
      </c>
      <c r="F74" s="39" t="s">
        <v>92</v>
      </c>
      <c r="G74" s="39" t="s">
        <v>77</v>
      </c>
      <c r="H74" s="39" t="s">
        <v>66</v>
      </c>
      <c r="I74" s="50">
        <v>18</v>
      </c>
      <c r="J74" s="51">
        <v>450000</v>
      </c>
      <c r="K74" s="51">
        <f t="shared" si="5"/>
        <v>450000</v>
      </c>
      <c r="L74" s="51">
        <f t="shared" si="6"/>
        <v>8100000</v>
      </c>
      <c r="M74" s="39">
        <v>0</v>
      </c>
      <c r="N74" s="51">
        <f t="shared" si="7"/>
        <v>0</v>
      </c>
      <c r="O74" s="51">
        <f t="shared" si="8"/>
        <v>8100000</v>
      </c>
      <c r="P74" s="39" t="s">
        <v>51</v>
      </c>
      <c r="Q74" s="52" t="s">
        <v>92</v>
      </c>
      <c r="R74" s="27" t="s">
        <v>77</v>
      </c>
      <c r="S74" s="27" t="s">
        <v>66</v>
      </c>
    </row>
    <row r="75" spans="1:19" x14ac:dyDescent="0.3">
      <c r="A75" s="44" t="s">
        <v>259</v>
      </c>
      <c r="B75" s="45">
        <v>45630</v>
      </c>
      <c r="C75" s="38" t="s">
        <v>260</v>
      </c>
      <c r="D75" s="38" t="s">
        <v>55</v>
      </c>
      <c r="E75" s="38" t="s">
        <v>70</v>
      </c>
      <c r="F75" s="38" t="s">
        <v>82</v>
      </c>
      <c r="G75" s="38" t="s">
        <v>77</v>
      </c>
      <c r="H75" s="38" t="s">
        <v>43</v>
      </c>
      <c r="I75" s="46">
        <v>8</v>
      </c>
      <c r="J75" s="47">
        <v>220000</v>
      </c>
      <c r="K75" s="47">
        <f t="shared" si="5"/>
        <v>220000</v>
      </c>
      <c r="L75" s="47">
        <f t="shared" si="6"/>
        <v>1760000</v>
      </c>
      <c r="M75" s="38">
        <v>0</v>
      </c>
      <c r="N75" s="47">
        <f t="shared" si="7"/>
        <v>0</v>
      </c>
      <c r="O75" s="47">
        <f t="shared" si="8"/>
        <v>1760000</v>
      </c>
      <c r="P75" s="38" t="s">
        <v>44</v>
      </c>
      <c r="Q75" s="43" t="s">
        <v>82</v>
      </c>
      <c r="R75" s="27" t="s">
        <v>77</v>
      </c>
      <c r="S75" s="27" t="s">
        <v>43</v>
      </c>
    </row>
    <row r="76" spans="1:19" x14ac:dyDescent="0.3">
      <c r="A76" s="48" t="s">
        <v>261</v>
      </c>
      <c r="B76" s="49">
        <v>45637</v>
      </c>
      <c r="C76" s="39" t="s">
        <v>262</v>
      </c>
      <c r="D76" s="39" t="s">
        <v>109</v>
      </c>
      <c r="E76" s="39" t="s">
        <v>56</v>
      </c>
      <c r="F76" s="39" t="s">
        <v>57</v>
      </c>
      <c r="G76" s="39" t="s">
        <v>42</v>
      </c>
      <c r="H76" s="39" t="s">
        <v>71</v>
      </c>
      <c r="I76" s="50">
        <v>2</v>
      </c>
      <c r="J76" s="51">
        <v>28000</v>
      </c>
      <c r="K76" s="51">
        <f t="shared" ref="K76:K82" si="9">J76</f>
        <v>28000</v>
      </c>
      <c r="L76" s="51">
        <f t="shared" si="6"/>
        <v>56000</v>
      </c>
      <c r="M76" s="39">
        <v>5</v>
      </c>
      <c r="N76" s="51">
        <f t="shared" si="7"/>
        <v>2800</v>
      </c>
      <c r="O76" s="51">
        <f t="shared" si="8"/>
        <v>53200</v>
      </c>
      <c r="P76" s="39" t="s">
        <v>51</v>
      </c>
      <c r="Q76" s="52" t="s">
        <v>57</v>
      </c>
      <c r="R76" s="27" t="s">
        <v>42</v>
      </c>
      <c r="S76" s="27" t="s">
        <v>71</v>
      </c>
    </row>
    <row r="77" spans="1:19" x14ac:dyDescent="0.3">
      <c r="A77" s="44" t="s">
        <v>263</v>
      </c>
      <c r="B77" s="45">
        <v>45448</v>
      </c>
      <c r="C77" s="38" t="s">
        <v>148</v>
      </c>
      <c r="D77" s="38" t="s">
        <v>65</v>
      </c>
      <c r="E77" s="38" t="s">
        <v>40</v>
      </c>
      <c r="F77" s="38" t="s">
        <v>82</v>
      </c>
      <c r="G77" s="38" t="s">
        <v>77</v>
      </c>
      <c r="H77" s="38" t="s">
        <v>43</v>
      </c>
      <c r="I77" s="46">
        <v>7</v>
      </c>
      <c r="J77" s="47">
        <v>220000</v>
      </c>
      <c r="K77" s="47">
        <f t="shared" si="9"/>
        <v>220000</v>
      </c>
      <c r="L77" s="47">
        <f t="shared" si="6"/>
        <v>1540000</v>
      </c>
      <c r="M77" s="38">
        <v>20</v>
      </c>
      <c r="N77" s="47">
        <f t="shared" si="7"/>
        <v>308000</v>
      </c>
      <c r="O77" s="47">
        <f t="shared" si="8"/>
        <v>1232000</v>
      </c>
      <c r="P77" s="38" t="s">
        <v>51</v>
      </c>
      <c r="Q77" s="43" t="s">
        <v>82</v>
      </c>
      <c r="R77" s="27" t="s">
        <v>77</v>
      </c>
      <c r="S77" s="27" t="s">
        <v>43</v>
      </c>
    </row>
    <row r="78" spans="1:19" x14ac:dyDescent="0.3">
      <c r="A78" s="48" t="s">
        <v>264</v>
      </c>
      <c r="B78" s="49">
        <v>45339</v>
      </c>
      <c r="C78" s="39" t="s">
        <v>265</v>
      </c>
      <c r="D78" s="39" t="s">
        <v>141</v>
      </c>
      <c r="E78" s="39" t="s">
        <v>56</v>
      </c>
      <c r="F78" s="39" t="s">
        <v>76</v>
      </c>
      <c r="G78" s="39" t="s">
        <v>77</v>
      </c>
      <c r="H78" s="39" t="s">
        <v>71</v>
      </c>
      <c r="I78" s="50">
        <v>19</v>
      </c>
      <c r="J78" s="51">
        <v>180000</v>
      </c>
      <c r="K78" s="51">
        <f t="shared" si="9"/>
        <v>180000</v>
      </c>
      <c r="L78" s="51">
        <f t="shared" si="6"/>
        <v>3420000</v>
      </c>
      <c r="M78" s="39">
        <v>20</v>
      </c>
      <c r="N78" s="51">
        <f t="shared" si="7"/>
        <v>684000</v>
      </c>
      <c r="O78" s="51">
        <f t="shared" si="8"/>
        <v>2736000</v>
      </c>
      <c r="P78" s="39" t="s">
        <v>86</v>
      </c>
      <c r="Q78" s="52" t="s">
        <v>76</v>
      </c>
      <c r="R78" s="27" t="s">
        <v>77</v>
      </c>
      <c r="S78" s="27" t="s">
        <v>71</v>
      </c>
    </row>
    <row r="79" spans="1:19" x14ac:dyDescent="0.3">
      <c r="A79" s="44" t="s">
        <v>266</v>
      </c>
      <c r="B79" s="45">
        <v>45345</v>
      </c>
      <c r="C79" s="38" t="s">
        <v>267</v>
      </c>
      <c r="D79" s="38" t="s">
        <v>55</v>
      </c>
      <c r="E79" s="38" t="s">
        <v>56</v>
      </c>
      <c r="F79" s="38" t="s">
        <v>76</v>
      </c>
      <c r="G79" s="38" t="s">
        <v>77</v>
      </c>
      <c r="H79" s="38" t="s">
        <v>43</v>
      </c>
      <c r="I79" s="46">
        <v>14</v>
      </c>
      <c r="J79" s="47">
        <v>180000</v>
      </c>
      <c r="K79" s="47">
        <f t="shared" si="9"/>
        <v>180000</v>
      </c>
      <c r="L79" s="47">
        <f t="shared" si="6"/>
        <v>2520000</v>
      </c>
      <c r="M79" s="38">
        <v>15</v>
      </c>
      <c r="N79" s="47">
        <f t="shared" si="7"/>
        <v>378000</v>
      </c>
      <c r="O79" s="47">
        <f t="shared" si="8"/>
        <v>2142000</v>
      </c>
      <c r="P79" s="38" t="s">
        <v>44</v>
      </c>
      <c r="Q79" s="43" t="s">
        <v>76</v>
      </c>
      <c r="R79" s="27" t="s">
        <v>77</v>
      </c>
      <c r="S79" s="27" t="s">
        <v>43</v>
      </c>
    </row>
    <row r="80" spans="1:19" x14ac:dyDescent="0.3">
      <c r="A80" s="48" t="s">
        <v>268</v>
      </c>
      <c r="B80" s="49">
        <v>45482</v>
      </c>
      <c r="C80" s="39" t="s">
        <v>269</v>
      </c>
      <c r="D80" s="39" t="s">
        <v>81</v>
      </c>
      <c r="E80" s="39" t="s">
        <v>56</v>
      </c>
      <c r="F80" s="39" t="s">
        <v>82</v>
      </c>
      <c r="G80" s="39" t="s">
        <v>77</v>
      </c>
      <c r="H80" s="39" t="s">
        <v>71</v>
      </c>
      <c r="I80" s="50">
        <v>20</v>
      </c>
      <c r="J80" s="51">
        <v>220000</v>
      </c>
      <c r="K80" s="51">
        <f t="shared" si="9"/>
        <v>220000</v>
      </c>
      <c r="L80" s="51">
        <f t="shared" si="6"/>
        <v>4400000</v>
      </c>
      <c r="M80" s="39">
        <v>5</v>
      </c>
      <c r="N80" s="51">
        <f t="shared" si="7"/>
        <v>220000</v>
      </c>
      <c r="O80" s="51">
        <f t="shared" si="8"/>
        <v>4180000</v>
      </c>
      <c r="P80" s="39" t="s">
        <v>51</v>
      </c>
      <c r="Q80" s="52" t="s">
        <v>82</v>
      </c>
      <c r="R80" s="27" t="s">
        <v>77</v>
      </c>
      <c r="S80" s="27" t="s">
        <v>71</v>
      </c>
    </row>
    <row r="81" spans="1:19" x14ac:dyDescent="0.3">
      <c r="A81" s="44" t="s">
        <v>270</v>
      </c>
      <c r="B81" s="45">
        <v>45399</v>
      </c>
      <c r="C81" s="38" t="s">
        <v>271</v>
      </c>
      <c r="D81" s="38" t="s">
        <v>109</v>
      </c>
      <c r="E81" s="38" t="s">
        <v>70</v>
      </c>
      <c r="F81" s="38" t="s">
        <v>92</v>
      </c>
      <c r="G81" s="38" t="s">
        <v>77</v>
      </c>
      <c r="H81" s="38" t="s">
        <v>66</v>
      </c>
      <c r="I81" s="46">
        <v>5</v>
      </c>
      <c r="J81" s="47">
        <v>450000</v>
      </c>
      <c r="K81" s="47">
        <f t="shared" si="9"/>
        <v>450000</v>
      </c>
      <c r="L81" s="47">
        <f t="shared" si="6"/>
        <v>2250000</v>
      </c>
      <c r="M81" s="38">
        <v>0</v>
      </c>
      <c r="N81" s="47">
        <f t="shared" si="7"/>
        <v>0</v>
      </c>
      <c r="O81" s="47">
        <f t="shared" si="8"/>
        <v>2250000</v>
      </c>
      <c r="P81" s="38" t="s">
        <v>51</v>
      </c>
      <c r="Q81" s="43" t="s">
        <v>92</v>
      </c>
      <c r="R81" s="27" t="s">
        <v>77</v>
      </c>
      <c r="S81" s="27" t="s">
        <v>66</v>
      </c>
    </row>
    <row r="82" spans="1:19" x14ac:dyDescent="0.3">
      <c r="A82" s="48" t="s">
        <v>272</v>
      </c>
      <c r="B82" s="49">
        <v>45350</v>
      </c>
      <c r="C82" s="39" t="s">
        <v>273</v>
      </c>
      <c r="D82" s="39" t="s">
        <v>154</v>
      </c>
      <c r="E82" s="39" t="s">
        <v>40</v>
      </c>
      <c r="F82" s="39" t="s">
        <v>82</v>
      </c>
      <c r="G82" s="39" t="s">
        <v>77</v>
      </c>
      <c r="H82" s="39" t="s">
        <v>196</v>
      </c>
      <c r="I82" s="50">
        <v>11</v>
      </c>
      <c r="J82" s="51">
        <v>220000</v>
      </c>
      <c r="K82" s="51">
        <f t="shared" si="9"/>
        <v>220000</v>
      </c>
      <c r="L82" s="51">
        <f t="shared" si="6"/>
        <v>2420000</v>
      </c>
      <c r="M82" s="39">
        <v>15</v>
      </c>
      <c r="N82" s="51">
        <f t="shared" si="7"/>
        <v>363000</v>
      </c>
      <c r="O82" s="51">
        <f t="shared" si="8"/>
        <v>2057000</v>
      </c>
      <c r="P82" s="39" t="s">
        <v>86</v>
      </c>
      <c r="Q82" s="52" t="s">
        <v>82</v>
      </c>
      <c r="R82" s="27" t="s">
        <v>77</v>
      </c>
      <c r="S82" s="27" t="s">
        <v>196</v>
      </c>
    </row>
    <row r="83" spans="1:19" x14ac:dyDescent="0.3">
      <c r="A83" s="44" t="s">
        <v>275</v>
      </c>
      <c r="B83" s="45">
        <v>45415</v>
      </c>
      <c r="C83" s="38" t="s">
        <v>276</v>
      </c>
      <c r="D83" s="38" t="s">
        <v>75</v>
      </c>
      <c r="E83" s="38" t="s">
        <v>49</v>
      </c>
      <c r="F83" s="38" t="s">
        <v>50</v>
      </c>
      <c r="G83" s="38" t="s">
        <v>42</v>
      </c>
      <c r="H83" s="38" t="s">
        <v>196</v>
      </c>
      <c r="I83" s="46">
        <v>6</v>
      </c>
      <c r="J83" s="47">
        <v>1</v>
      </c>
      <c r="K83" s="47">
        <v>18000</v>
      </c>
      <c r="L83" s="47">
        <f t="shared" si="6"/>
        <v>108000</v>
      </c>
      <c r="M83" s="38">
        <v>15</v>
      </c>
      <c r="N83" s="47">
        <f t="shared" si="7"/>
        <v>16200</v>
      </c>
      <c r="O83" s="47">
        <f t="shared" si="8"/>
        <v>91800</v>
      </c>
      <c r="P83" s="38" t="s">
        <v>44</v>
      </c>
      <c r="Q83" s="43" t="s">
        <v>50</v>
      </c>
      <c r="R83" s="27" t="s">
        <v>42</v>
      </c>
      <c r="S83" s="27" t="s">
        <v>196</v>
      </c>
    </row>
    <row r="84" spans="1:19" x14ac:dyDescent="0.3">
      <c r="A84" s="48" t="s">
        <v>278</v>
      </c>
      <c r="B84" s="49">
        <v>45614</v>
      </c>
      <c r="C84" s="39" t="s">
        <v>279</v>
      </c>
      <c r="D84" s="39" t="s">
        <v>48</v>
      </c>
      <c r="E84" s="39" t="s">
        <v>49</v>
      </c>
      <c r="F84" s="39" t="s">
        <v>41</v>
      </c>
      <c r="G84" s="39" t="s">
        <v>42</v>
      </c>
      <c r="H84" s="39" t="s">
        <v>43</v>
      </c>
      <c r="I84" s="50">
        <v>9</v>
      </c>
      <c r="J84" s="51">
        <v>35000</v>
      </c>
      <c r="K84" s="51">
        <f t="shared" ref="K84:K120" si="10">J84</f>
        <v>35000</v>
      </c>
      <c r="L84" s="51">
        <f t="shared" si="6"/>
        <v>315000</v>
      </c>
      <c r="M84" s="39">
        <v>0</v>
      </c>
      <c r="N84" s="51">
        <f t="shared" si="7"/>
        <v>0</v>
      </c>
      <c r="O84" s="51">
        <f t="shared" si="8"/>
        <v>315000</v>
      </c>
      <c r="P84" s="39" t="s">
        <v>51</v>
      </c>
      <c r="Q84" s="52" t="s">
        <v>41</v>
      </c>
      <c r="R84" s="27" t="s">
        <v>42</v>
      </c>
      <c r="S84" s="27" t="s">
        <v>43</v>
      </c>
    </row>
    <row r="85" spans="1:19" x14ac:dyDescent="0.3">
      <c r="A85" s="44" t="s">
        <v>280</v>
      </c>
      <c r="B85" s="45">
        <v>45405</v>
      </c>
      <c r="C85" s="38" t="s">
        <v>281</v>
      </c>
      <c r="D85" s="38" t="s">
        <v>141</v>
      </c>
      <c r="E85" s="38" t="s">
        <v>49</v>
      </c>
      <c r="F85" s="38" t="s">
        <v>50</v>
      </c>
      <c r="G85" s="38" t="s">
        <v>42</v>
      </c>
      <c r="H85" s="38" t="s">
        <v>71</v>
      </c>
      <c r="I85" s="46">
        <v>17</v>
      </c>
      <c r="J85" s="47">
        <v>18000</v>
      </c>
      <c r="K85" s="47">
        <f t="shared" si="10"/>
        <v>18000</v>
      </c>
      <c r="L85" s="47">
        <f t="shared" si="6"/>
        <v>306000</v>
      </c>
      <c r="M85" s="38">
        <v>10</v>
      </c>
      <c r="N85" s="47">
        <f t="shared" si="7"/>
        <v>30600</v>
      </c>
      <c r="O85" s="47">
        <f t="shared" si="8"/>
        <v>275400</v>
      </c>
      <c r="P85" s="38" t="s">
        <v>51</v>
      </c>
      <c r="Q85" s="43" t="s">
        <v>50</v>
      </c>
      <c r="R85" s="27" t="s">
        <v>42</v>
      </c>
      <c r="S85" s="27" t="s">
        <v>71</v>
      </c>
    </row>
    <row r="86" spans="1:19" x14ac:dyDescent="0.3">
      <c r="A86" s="48" t="s">
        <v>282</v>
      </c>
      <c r="B86" s="49">
        <v>45572</v>
      </c>
      <c r="C86" s="39" t="s">
        <v>283</v>
      </c>
      <c r="D86" s="39" t="s">
        <v>65</v>
      </c>
      <c r="E86" s="39" t="s">
        <v>70</v>
      </c>
      <c r="F86" s="39" t="s">
        <v>76</v>
      </c>
      <c r="G86" s="39" t="s">
        <v>77</v>
      </c>
      <c r="H86" s="39" t="s">
        <v>71</v>
      </c>
      <c r="I86" s="50">
        <v>1</v>
      </c>
      <c r="J86" s="51">
        <v>180000</v>
      </c>
      <c r="K86" s="51">
        <f t="shared" si="10"/>
        <v>180000</v>
      </c>
      <c r="L86" s="51">
        <f t="shared" si="6"/>
        <v>180000</v>
      </c>
      <c r="M86" s="39">
        <v>15</v>
      </c>
      <c r="N86" s="51">
        <f t="shared" si="7"/>
        <v>27000</v>
      </c>
      <c r="O86" s="51">
        <f t="shared" si="8"/>
        <v>153000</v>
      </c>
      <c r="P86" s="39" t="s">
        <v>51</v>
      </c>
      <c r="Q86" s="52" t="s">
        <v>76</v>
      </c>
      <c r="R86" s="27" t="s">
        <v>77</v>
      </c>
      <c r="S86" s="27" t="s">
        <v>71</v>
      </c>
    </row>
    <row r="87" spans="1:19" x14ac:dyDescent="0.3">
      <c r="A87" s="44" t="s">
        <v>284</v>
      </c>
      <c r="B87" s="45">
        <v>45640</v>
      </c>
      <c r="C87" s="38" t="s">
        <v>285</v>
      </c>
      <c r="D87" s="38" t="s">
        <v>75</v>
      </c>
      <c r="E87" s="38" t="s">
        <v>70</v>
      </c>
      <c r="F87" s="38" t="s">
        <v>82</v>
      </c>
      <c r="G87" s="38" t="s">
        <v>77</v>
      </c>
      <c r="H87" s="38" t="s">
        <v>43</v>
      </c>
      <c r="I87" s="46">
        <v>11</v>
      </c>
      <c r="J87" s="47">
        <v>220000</v>
      </c>
      <c r="K87" s="47">
        <f t="shared" si="10"/>
        <v>220000</v>
      </c>
      <c r="L87" s="47">
        <f t="shared" si="6"/>
        <v>2420000</v>
      </c>
      <c r="M87" s="38">
        <v>0</v>
      </c>
      <c r="N87" s="47">
        <f t="shared" si="7"/>
        <v>0</v>
      </c>
      <c r="O87" s="47">
        <f t="shared" si="8"/>
        <v>2420000</v>
      </c>
      <c r="P87" s="38" t="s">
        <v>51</v>
      </c>
      <c r="Q87" s="43" t="s">
        <v>82</v>
      </c>
      <c r="R87" s="27" t="s">
        <v>77</v>
      </c>
      <c r="S87" s="27" t="s">
        <v>43</v>
      </c>
    </row>
    <row r="88" spans="1:19" x14ac:dyDescent="0.3">
      <c r="A88" s="48" t="s">
        <v>286</v>
      </c>
      <c r="B88" s="49">
        <v>45552</v>
      </c>
      <c r="C88" s="39" t="s">
        <v>287</v>
      </c>
      <c r="D88" s="39" t="s">
        <v>65</v>
      </c>
      <c r="E88" s="39" t="s">
        <v>49</v>
      </c>
      <c r="F88" s="39" t="s">
        <v>82</v>
      </c>
      <c r="G88" s="39" t="s">
        <v>77</v>
      </c>
      <c r="H88" s="39" t="s">
        <v>66</v>
      </c>
      <c r="I88" s="50">
        <v>15</v>
      </c>
      <c r="J88" s="51">
        <v>220000</v>
      </c>
      <c r="K88" s="51">
        <f t="shared" si="10"/>
        <v>220000</v>
      </c>
      <c r="L88" s="51">
        <f t="shared" si="6"/>
        <v>3300000</v>
      </c>
      <c r="M88" s="39">
        <v>10</v>
      </c>
      <c r="N88" s="51">
        <f t="shared" si="7"/>
        <v>330000</v>
      </c>
      <c r="O88" s="51">
        <f t="shared" si="8"/>
        <v>2970000</v>
      </c>
      <c r="P88" s="39" t="s">
        <v>51</v>
      </c>
      <c r="Q88" s="52" t="s">
        <v>82</v>
      </c>
      <c r="R88" s="27" t="s">
        <v>77</v>
      </c>
      <c r="S88" s="27" t="s">
        <v>66</v>
      </c>
    </row>
    <row r="89" spans="1:19" x14ac:dyDescent="0.3">
      <c r="A89" s="44" t="s">
        <v>288</v>
      </c>
      <c r="B89" s="45">
        <v>45437</v>
      </c>
      <c r="C89" s="38" t="s">
        <v>289</v>
      </c>
      <c r="D89" s="38" t="s">
        <v>65</v>
      </c>
      <c r="E89" s="38" t="s">
        <v>49</v>
      </c>
      <c r="F89" s="38" t="s">
        <v>61</v>
      </c>
      <c r="G89" s="38" t="s">
        <v>42</v>
      </c>
      <c r="H89" s="38" t="s">
        <v>43</v>
      </c>
      <c r="I89" s="46">
        <v>13</v>
      </c>
      <c r="J89" s="47">
        <v>22000</v>
      </c>
      <c r="K89" s="47">
        <f t="shared" si="10"/>
        <v>22000</v>
      </c>
      <c r="L89" s="47">
        <f t="shared" si="6"/>
        <v>286000</v>
      </c>
      <c r="M89" s="38">
        <v>15</v>
      </c>
      <c r="N89" s="47">
        <f t="shared" si="7"/>
        <v>42900</v>
      </c>
      <c r="O89" s="47">
        <f t="shared" si="8"/>
        <v>243100</v>
      </c>
      <c r="P89" s="38" t="s">
        <v>51</v>
      </c>
      <c r="Q89" s="43" t="s">
        <v>61</v>
      </c>
      <c r="R89" s="27" t="s">
        <v>42</v>
      </c>
      <c r="S89" s="27" t="s">
        <v>43</v>
      </c>
    </row>
    <row r="90" spans="1:19" x14ac:dyDescent="0.3">
      <c r="A90" s="48" t="s">
        <v>290</v>
      </c>
      <c r="B90" s="49">
        <v>45294</v>
      </c>
      <c r="C90" s="39" t="s">
        <v>291</v>
      </c>
      <c r="D90" s="39" t="s">
        <v>118</v>
      </c>
      <c r="E90" s="39" t="s">
        <v>40</v>
      </c>
      <c r="F90" s="39" t="s">
        <v>50</v>
      </c>
      <c r="G90" s="39" t="s">
        <v>42</v>
      </c>
      <c r="H90" s="39" t="s">
        <v>66</v>
      </c>
      <c r="I90" s="50">
        <v>16</v>
      </c>
      <c r="J90" s="51">
        <v>18000</v>
      </c>
      <c r="K90" s="51">
        <f t="shared" si="10"/>
        <v>18000</v>
      </c>
      <c r="L90" s="51">
        <f t="shared" si="6"/>
        <v>288000</v>
      </c>
      <c r="M90" s="39">
        <v>5</v>
      </c>
      <c r="N90" s="51">
        <f t="shared" si="7"/>
        <v>14400</v>
      </c>
      <c r="O90" s="51">
        <f t="shared" si="8"/>
        <v>273600</v>
      </c>
      <c r="P90" s="39" t="s">
        <v>51</v>
      </c>
      <c r="Q90" s="52" t="s">
        <v>50</v>
      </c>
      <c r="R90" s="27" t="s">
        <v>42</v>
      </c>
      <c r="S90" s="27" t="s">
        <v>66</v>
      </c>
    </row>
    <row r="91" spans="1:19" x14ac:dyDescent="0.3">
      <c r="A91" s="44" t="s">
        <v>292</v>
      </c>
      <c r="B91" s="45">
        <v>45438</v>
      </c>
      <c r="C91" s="38" t="s">
        <v>293</v>
      </c>
      <c r="D91" s="38" t="s">
        <v>39</v>
      </c>
      <c r="E91" s="38" t="s">
        <v>40</v>
      </c>
      <c r="F91" s="38" t="s">
        <v>50</v>
      </c>
      <c r="G91" s="38" t="s">
        <v>42</v>
      </c>
      <c r="H91" s="38" t="s">
        <v>71</v>
      </c>
      <c r="I91" s="46">
        <v>18</v>
      </c>
      <c r="J91" s="47">
        <v>18000</v>
      </c>
      <c r="K91" s="47">
        <f t="shared" si="10"/>
        <v>18000</v>
      </c>
      <c r="L91" s="47">
        <f t="shared" si="6"/>
        <v>324000</v>
      </c>
      <c r="M91" s="38">
        <v>0</v>
      </c>
      <c r="N91" s="47">
        <f t="shared" si="7"/>
        <v>0</v>
      </c>
      <c r="O91" s="47">
        <f t="shared" si="8"/>
        <v>324000</v>
      </c>
      <c r="P91" s="38" t="s">
        <v>44</v>
      </c>
      <c r="Q91" s="43" t="s">
        <v>50</v>
      </c>
      <c r="R91" s="27" t="s">
        <v>42</v>
      </c>
      <c r="S91" s="27" t="s">
        <v>71</v>
      </c>
    </row>
    <row r="92" spans="1:19" x14ac:dyDescent="0.3">
      <c r="A92" s="48" t="s">
        <v>294</v>
      </c>
      <c r="B92" s="49">
        <v>45360</v>
      </c>
      <c r="C92" s="39" t="s">
        <v>295</v>
      </c>
      <c r="D92" s="39" t="s">
        <v>55</v>
      </c>
      <c r="E92" s="39" t="s">
        <v>56</v>
      </c>
      <c r="F92" s="39" t="s">
        <v>50</v>
      </c>
      <c r="G92" s="39" t="s">
        <v>42</v>
      </c>
      <c r="H92" s="38" t="s">
        <v>71</v>
      </c>
      <c r="I92" s="50">
        <v>12</v>
      </c>
      <c r="J92" s="51">
        <v>18000</v>
      </c>
      <c r="K92" s="51">
        <f t="shared" si="10"/>
        <v>18000</v>
      </c>
      <c r="L92" s="51">
        <f t="shared" si="6"/>
        <v>216000</v>
      </c>
      <c r="M92" s="39">
        <v>0</v>
      </c>
      <c r="N92" s="51">
        <f t="shared" si="7"/>
        <v>0</v>
      </c>
      <c r="O92" s="51">
        <f t="shared" si="8"/>
        <v>216000</v>
      </c>
      <c r="P92" s="38" t="s">
        <v>51</v>
      </c>
      <c r="Q92" s="52" t="s">
        <v>50</v>
      </c>
      <c r="R92" s="27" t="s">
        <v>42</v>
      </c>
      <c r="S92" s="27" t="s">
        <v>137</v>
      </c>
    </row>
    <row r="93" spans="1:19" x14ac:dyDescent="0.3">
      <c r="A93" s="44" t="s">
        <v>297</v>
      </c>
      <c r="B93" s="45">
        <v>45475</v>
      </c>
      <c r="C93" s="38" t="s">
        <v>298</v>
      </c>
      <c r="D93" s="38" t="s">
        <v>48</v>
      </c>
      <c r="E93" s="38" t="s">
        <v>49</v>
      </c>
      <c r="F93" s="38" t="s">
        <v>50</v>
      </c>
      <c r="G93" s="38" t="s">
        <v>42</v>
      </c>
      <c r="H93" s="38" t="s">
        <v>71</v>
      </c>
      <c r="I93" s="46">
        <v>4</v>
      </c>
      <c r="J93" s="47">
        <v>18000</v>
      </c>
      <c r="K93" s="47">
        <f t="shared" si="10"/>
        <v>18000</v>
      </c>
      <c r="L93" s="47">
        <f t="shared" si="6"/>
        <v>72000</v>
      </c>
      <c r="M93" s="38">
        <v>5</v>
      </c>
      <c r="N93" s="47">
        <f t="shared" si="7"/>
        <v>3600</v>
      </c>
      <c r="O93" s="47">
        <f t="shared" si="8"/>
        <v>68400</v>
      </c>
      <c r="P93" s="38" t="s">
        <v>51</v>
      </c>
      <c r="Q93" s="43" t="s">
        <v>50</v>
      </c>
      <c r="R93" s="27" t="s">
        <v>42</v>
      </c>
      <c r="S93" s="27" t="s">
        <v>71</v>
      </c>
    </row>
    <row r="94" spans="1:19" x14ac:dyDescent="0.3">
      <c r="A94" s="48" t="s">
        <v>299</v>
      </c>
      <c r="B94" s="49">
        <v>45652</v>
      </c>
      <c r="C94" s="39" t="s">
        <v>300</v>
      </c>
      <c r="D94" s="39" t="s">
        <v>109</v>
      </c>
      <c r="E94" s="39" t="s">
        <v>49</v>
      </c>
      <c r="F94" s="39" t="s">
        <v>57</v>
      </c>
      <c r="G94" s="39" t="s">
        <v>42</v>
      </c>
      <c r="H94" s="39" t="s">
        <v>66</v>
      </c>
      <c r="I94" s="50">
        <v>9</v>
      </c>
      <c r="J94" s="51">
        <v>28000</v>
      </c>
      <c r="K94" s="51">
        <f t="shared" si="10"/>
        <v>28000</v>
      </c>
      <c r="L94" s="51">
        <f t="shared" si="6"/>
        <v>252000</v>
      </c>
      <c r="M94" s="39">
        <v>20</v>
      </c>
      <c r="N94" s="51">
        <f t="shared" si="7"/>
        <v>50400</v>
      </c>
      <c r="O94" s="51">
        <f t="shared" si="8"/>
        <v>201600</v>
      </c>
      <c r="P94" s="39" t="s">
        <v>44</v>
      </c>
      <c r="Q94" s="52" t="s">
        <v>57</v>
      </c>
      <c r="R94" s="27" t="s">
        <v>42</v>
      </c>
      <c r="S94" s="27" t="s">
        <v>66</v>
      </c>
    </row>
    <row r="95" spans="1:19" x14ac:dyDescent="0.3">
      <c r="A95" s="44" t="s">
        <v>301</v>
      </c>
      <c r="B95" s="45">
        <v>45517</v>
      </c>
      <c r="C95" s="38" t="s">
        <v>302</v>
      </c>
      <c r="D95" s="38" t="s">
        <v>75</v>
      </c>
      <c r="E95" s="38" t="s">
        <v>56</v>
      </c>
      <c r="F95" s="38" t="s">
        <v>61</v>
      </c>
      <c r="G95" s="38" t="s">
        <v>42</v>
      </c>
      <c r="H95" s="38" t="s">
        <v>71</v>
      </c>
      <c r="I95" s="46">
        <v>14</v>
      </c>
      <c r="J95" s="47">
        <v>22000</v>
      </c>
      <c r="K95" s="47">
        <f t="shared" si="10"/>
        <v>22000</v>
      </c>
      <c r="L95" s="47">
        <f t="shared" si="6"/>
        <v>308000</v>
      </c>
      <c r="M95" s="38">
        <v>0</v>
      </c>
      <c r="N95" s="47">
        <f t="shared" si="7"/>
        <v>0</v>
      </c>
      <c r="O95" s="47">
        <f t="shared" si="8"/>
        <v>308000</v>
      </c>
      <c r="P95" s="38" t="s">
        <v>44</v>
      </c>
      <c r="Q95" s="43" t="s">
        <v>61</v>
      </c>
      <c r="R95" s="27" t="s">
        <v>42</v>
      </c>
      <c r="S95" s="27" t="s">
        <v>71</v>
      </c>
    </row>
    <row r="96" spans="1:19" x14ac:dyDescent="0.3">
      <c r="A96" s="48" t="s">
        <v>303</v>
      </c>
      <c r="B96" s="49">
        <v>45562</v>
      </c>
      <c r="C96" s="39" t="s">
        <v>304</v>
      </c>
      <c r="D96" s="39" t="s">
        <v>154</v>
      </c>
      <c r="E96" s="39" t="s">
        <v>40</v>
      </c>
      <c r="F96" s="39" t="s">
        <v>82</v>
      </c>
      <c r="G96" s="39" t="s">
        <v>77</v>
      </c>
      <c r="H96" s="39" t="s">
        <v>66</v>
      </c>
      <c r="I96" s="50">
        <v>2</v>
      </c>
      <c r="J96" s="51">
        <v>220000</v>
      </c>
      <c r="K96" s="51">
        <f t="shared" si="10"/>
        <v>220000</v>
      </c>
      <c r="L96" s="51">
        <f t="shared" si="6"/>
        <v>440000</v>
      </c>
      <c r="M96" s="39">
        <v>15</v>
      </c>
      <c r="N96" s="51">
        <f t="shared" si="7"/>
        <v>66000</v>
      </c>
      <c r="O96" s="51">
        <f t="shared" si="8"/>
        <v>374000</v>
      </c>
      <c r="P96" s="39" t="s">
        <v>51</v>
      </c>
      <c r="Q96" s="52" t="s">
        <v>82</v>
      </c>
      <c r="R96" s="27" t="s">
        <v>77</v>
      </c>
      <c r="S96" s="27" t="s">
        <v>66</v>
      </c>
    </row>
    <row r="97" spans="1:19" x14ac:dyDescent="0.3">
      <c r="A97" s="44" t="s">
        <v>305</v>
      </c>
      <c r="B97" s="45">
        <v>45299</v>
      </c>
      <c r="C97" s="38" t="s">
        <v>306</v>
      </c>
      <c r="D97" s="38" t="s">
        <v>81</v>
      </c>
      <c r="E97" s="38" t="s">
        <v>70</v>
      </c>
      <c r="F97" s="38" t="s">
        <v>76</v>
      </c>
      <c r="G97" s="38" t="s">
        <v>77</v>
      </c>
      <c r="H97" s="38" t="s">
        <v>71</v>
      </c>
      <c r="I97" s="46">
        <v>14</v>
      </c>
      <c r="J97" s="47">
        <v>180000</v>
      </c>
      <c r="K97" s="47">
        <f t="shared" si="10"/>
        <v>180000</v>
      </c>
      <c r="L97" s="47">
        <f t="shared" si="6"/>
        <v>2520000</v>
      </c>
      <c r="M97" s="38">
        <v>10</v>
      </c>
      <c r="N97" s="47">
        <f t="shared" si="7"/>
        <v>252000</v>
      </c>
      <c r="O97" s="47">
        <f t="shared" si="8"/>
        <v>2268000</v>
      </c>
      <c r="P97" s="38" t="s">
        <v>51</v>
      </c>
      <c r="Q97" s="43" t="s">
        <v>76</v>
      </c>
      <c r="R97" s="27" t="s">
        <v>77</v>
      </c>
      <c r="S97" s="27" t="s">
        <v>71</v>
      </c>
    </row>
    <row r="98" spans="1:19" x14ac:dyDescent="0.3">
      <c r="A98" s="48" t="s">
        <v>307</v>
      </c>
      <c r="B98" s="49">
        <v>45437</v>
      </c>
      <c r="C98" s="39" t="s">
        <v>308</v>
      </c>
      <c r="D98" s="39" t="s">
        <v>81</v>
      </c>
      <c r="E98" s="39" t="s">
        <v>49</v>
      </c>
      <c r="F98" s="39" t="s">
        <v>61</v>
      </c>
      <c r="G98" s="39" t="s">
        <v>42</v>
      </c>
      <c r="H98" s="39" t="s">
        <v>71</v>
      </c>
      <c r="I98" s="50">
        <v>18</v>
      </c>
      <c r="J98" s="51">
        <v>22000</v>
      </c>
      <c r="K98" s="51">
        <f t="shared" si="10"/>
        <v>22000</v>
      </c>
      <c r="L98" s="51">
        <f t="shared" si="6"/>
        <v>396000</v>
      </c>
      <c r="M98" s="39">
        <v>20</v>
      </c>
      <c r="N98" s="51">
        <f t="shared" si="7"/>
        <v>79200</v>
      </c>
      <c r="O98" s="51">
        <f t="shared" si="8"/>
        <v>316800</v>
      </c>
      <c r="P98" s="39" t="s">
        <v>51</v>
      </c>
      <c r="Q98" s="52" t="s">
        <v>61</v>
      </c>
      <c r="R98" s="27" t="s">
        <v>42</v>
      </c>
      <c r="S98" s="27" t="s">
        <v>71</v>
      </c>
    </row>
    <row r="99" spans="1:19" x14ac:dyDescent="0.3">
      <c r="A99" s="44" t="s">
        <v>309</v>
      </c>
      <c r="B99" s="45">
        <v>45421</v>
      </c>
      <c r="C99" s="38" t="s">
        <v>310</v>
      </c>
      <c r="D99" s="38" t="s">
        <v>118</v>
      </c>
      <c r="E99" s="38" t="s">
        <v>49</v>
      </c>
      <c r="F99" s="38" t="s">
        <v>82</v>
      </c>
      <c r="G99" s="38" t="s">
        <v>77</v>
      </c>
      <c r="H99" s="38" t="s">
        <v>71</v>
      </c>
      <c r="I99" s="46">
        <v>8</v>
      </c>
      <c r="J99" s="47">
        <v>220000</v>
      </c>
      <c r="K99" s="47">
        <f t="shared" si="10"/>
        <v>220000</v>
      </c>
      <c r="L99" s="47">
        <f t="shared" si="6"/>
        <v>1760000</v>
      </c>
      <c r="M99" s="38">
        <v>5</v>
      </c>
      <c r="N99" s="47">
        <f t="shared" si="7"/>
        <v>88000</v>
      </c>
      <c r="O99" s="47">
        <f t="shared" si="8"/>
        <v>1672000</v>
      </c>
      <c r="P99" s="38" t="s">
        <v>131</v>
      </c>
      <c r="Q99" s="43" t="s">
        <v>82</v>
      </c>
      <c r="R99" s="27" t="s">
        <v>77</v>
      </c>
      <c r="S99" s="27" t="s">
        <v>71</v>
      </c>
    </row>
    <row r="100" spans="1:19" x14ac:dyDescent="0.3">
      <c r="A100" s="48" t="s">
        <v>311</v>
      </c>
      <c r="B100" s="49">
        <v>45336</v>
      </c>
      <c r="C100" s="39" t="s">
        <v>312</v>
      </c>
      <c r="D100" s="39" t="s">
        <v>55</v>
      </c>
      <c r="E100" s="39" t="s">
        <v>70</v>
      </c>
      <c r="F100" s="39" t="s">
        <v>41</v>
      </c>
      <c r="G100" s="39" t="s">
        <v>42</v>
      </c>
      <c r="H100" s="39" t="s">
        <v>66</v>
      </c>
      <c r="I100" s="50">
        <v>8</v>
      </c>
      <c r="J100" s="51">
        <v>35000</v>
      </c>
      <c r="K100" s="51">
        <f t="shared" si="10"/>
        <v>35000</v>
      </c>
      <c r="L100" s="51">
        <f t="shared" si="6"/>
        <v>280000</v>
      </c>
      <c r="M100" s="39">
        <v>0</v>
      </c>
      <c r="N100" s="51">
        <f t="shared" si="7"/>
        <v>0</v>
      </c>
      <c r="O100" s="51">
        <f t="shared" si="8"/>
        <v>280000</v>
      </c>
      <c r="P100" s="39" t="s">
        <v>44</v>
      </c>
      <c r="Q100" s="52" t="s">
        <v>41</v>
      </c>
      <c r="R100" s="27" t="s">
        <v>42</v>
      </c>
      <c r="S100" s="27" t="s">
        <v>66</v>
      </c>
    </row>
    <row r="101" spans="1:19" x14ac:dyDescent="0.3">
      <c r="A101" s="44" t="s">
        <v>313</v>
      </c>
      <c r="B101" s="45">
        <v>45496</v>
      </c>
      <c r="C101" s="38" t="s">
        <v>314</v>
      </c>
      <c r="D101" s="38" t="s">
        <v>141</v>
      </c>
      <c r="E101" s="38" t="s">
        <v>70</v>
      </c>
      <c r="F101" s="38" t="s">
        <v>99</v>
      </c>
      <c r="G101" s="38" t="s">
        <v>77</v>
      </c>
      <c r="H101" s="38" t="s">
        <v>43</v>
      </c>
      <c r="I101" s="46">
        <v>14</v>
      </c>
      <c r="J101" s="47">
        <v>95000</v>
      </c>
      <c r="K101" s="47">
        <f t="shared" si="10"/>
        <v>95000</v>
      </c>
      <c r="L101" s="47">
        <f t="shared" si="6"/>
        <v>1330000</v>
      </c>
      <c r="M101" s="38">
        <v>0</v>
      </c>
      <c r="N101" s="47">
        <f t="shared" si="7"/>
        <v>0</v>
      </c>
      <c r="O101" s="47">
        <f t="shared" si="8"/>
        <v>1330000</v>
      </c>
      <c r="P101" s="38" t="s">
        <v>131</v>
      </c>
      <c r="Q101" s="43" t="s">
        <v>99</v>
      </c>
      <c r="R101" s="27" t="s">
        <v>77</v>
      </c>
      <c r="S101" s="27" t="s">
        <v>43</v>
      </c>
    </row>
    <row r="102" spans="1:19" x14ac:dyDescent="0.3">
      <c r="A102" s="48" t="s">
        <v>315</v>
      </c>
      <c r="B102" s="49">
        <v>45427</v>
      </c>
      <c r="C102" s="39" t="s">
        <v>316</v>
      </c>
      <c r="D102" s="39" t="s">
        <v>109</v>
      </c>
      <c r="E102" s="39" t="s">
        <v>40</v>
      </c>
      <c r="F102" s="39" t="s">
        <v>76</v>
      </c>
      <c r="G102" s="39" t="s">
        <v>77</v>
      </c>
      <c r="H102" s="39" t="s">
        <v>43</v>
      </c>
      <c r="I102" s="50">
        <v>3</v>
      </c>
      <c r="J102" s="51">
        <v>180000</v>
      </c>
      <c r="K102" s="51">
        <f t="shared" si="10"/>
        <v>180000</v>
      </c>
      <c r="L102" s="51">
        <f t="shared" si="6"/>
        <v>540000</v>
      </c>
      <c r="M102" s="39">
        <v>0</v>
      </c>
      <c r="N102" s="51">
        <f t="shared" si="7"/>
        <v>0</v>
      </c>
      <c r="O102" s="51">
        <f t="shared" si="8"/>
        <v>540000</v>
      </c>
      <c r="P102" s="39" t="s">
        <v>51</v>
      </c>
      <c r="Q102" s="52" t="s">
        <v>76</v>
      </c>
      <c r="R102" s="27" t="s">
        <v>77</v>
      </c>
      <c r="S102" s="27" t="s">
        <v>43</v>
      </c>
    </row>
    <row r="103" spans="1:19" x14ac:dyDescent="0.3">
      <c r="A103" s="44" t="s">
        <v>317</v>
      </c>
      <c r="B103" s="45">
        <v>45303</v>
      </c>
      <c r="C103" s="38" t="s">
        <v>318</v>
      </c>
      <c r="D103" s="38" t="s">
        <v>75</v>
      </c>
      <c r="E103" s="38" t="s">
        <v>40</v>
      </c>
      <c r="F103" s="38" t="s">
        <v>41</v>
      </c>
      <c r="G103" s="38" t="s">
        <v>42</v>
      </c>
      <c r="H103" s="38" t="s">
        <v>130</v>
      </c>
      <c r="I103" s="46">
        <v>2</v>
      </c>
      <c r="J103" s="47">
        <v>35000</v>
      </c>
      <c r="K103" s="47">
        <f t="shared" si="10"/>
        <v>35000</v>
      </c>
      <c r="L103" s="47">
        <f t="shared" si="6"/>
        <v>70000</v>
      </c>
      <c r="M103" s="38">
        <v>5</v>
      </c>
      <c r="N103" s="47">
        <f t="shared" si="7"/>
        <v>3500</v>
      </c>
      <c r="O103" s="47">
        <f t="shared" si="8"/>
        <v>66500</v>
      </c>
      <c r="P103" s="38" t="s">
        <v>44</v>
      </c>
      <c r="Q103" s="43" t="s">
        <v>41</v>
      </c>
      <c r="R103" s="27" t="s">
        <v>42</v>
      </c>
      <c r="S103" s="27" t="s">
        <v>130</v>
      </c>
    </row>
    <row r="104" spans="1:19" x14ac:dyDescent="0.3">
      <c r="A104" s="48" t="s">
        <v>320</v>
      </c>
      <c r="B104" s="49">
        <v>45469</v>
      </c>
      <c r="C104" s="39" t="s">
        <v>321</v>
      </c>
      <c r="D104" s="39" t="s">
        <v>154</v>
      </c>
      <c r="E104" s="39" t="s">
        <v>40</v>
      </c>
      <c r="F104" s="39" t="s">
        <v>92</v>
      </c>
      <c r="G104" s="39" t="s">
        <v>77</v>
      </c>
      <c r="H104" s="39" t="s">
        <v>43</v>
      </c>
      <c r="I104" s="50">
        <v>16</v>
      </c>
      <c r="J104" s="51">
        <v>450000</v>
      </c>
      <c r="K104" s="51">
        <f t="shared" si="10"/>
        <v>450000</v>
      </c>
      <c r="L104" s="51">
        <f t="shared" si="6"/>
        <v>7200000</v>
      </c>
      <c r="M104" s="39">
        <v>0</v>
      </c>
      <c r="N104" s="51">
        <f t="shared" si="7"/>
        <v>0</v>
      </c>
      <c r="O104" s="51">
        <f t="shared" si="8"/>
        <v>7200000</v>
      </c>
      <c r="P104" s="39" t="s">
        <v>51</v>
      </c>
      <c r="Q104" s="52" t="s">
        <v>92</v>
      </c>
      <c r="R104" s="27" t="s">
        <v>77</v>
      </c>
      <c r="S104" s="27" t="s">
        <v>43</v>
      </c>
    </row>
    <row r="105" spans="1:19" x14ac:dyDescent="0.3">
      <c r="A105" s="44" t="s">
        <v>322</v>
      </c>
      <c r="B105" s="45">
        <v>45501</v>
      </c>
      <c r="C105" s="38" t="s">
        <v>323</v>
      </c>
      <c r="D105" s="38" t="s">
        <v>75</v>
      </c>
      <c r="E105" s="38" t="s">
        <v>56</v>
      </c>
      <c r="F105" s="38" t="s">
        <v>82</v>
      </c>
      <c r="G105" s="38" t="s">
        <v>77</v>
      </c>
      <c r="H105" s="38" t="s">
        <v>66</v>
      </c>
      <c r="I105" s="46">
        <v>17</v>
      </c>
      <c r="J105" s="47">
        <v>220000</v>
      </c>
      <c r="K105" s="47">
        <f t="shared" si="10"/>
        <v>220000</v>
      </c>
      <c r="L105" s="47">
        <f t="shared" si="6"/>
        <v>3740000</v>
      </c>
      <c r="M105" s="38">
        <v>0</v>
      </c>
      <c r="N105" s="47">
        <f t="shared" si="7"/>
        <v>0</v>
      </c>
      <c r="O105" s="47">
        <f t="shared" si="8"/>
        <v>3740000</v>
      </c>
      <c r="P105" s="38" t="s">
        <v>51</v>
      </c>
      <c r="Q105" s="43" t="s">
        <v>82</v>
      </c>
      <c r="R105" s="27" t="s">
        <v>77</v>
      </c>
      <c r="S105" s="27" t="s">
        <v>66</v>
      </c>
    </row>
    <row r="106" spans="1:19" x14ac:dyDescent="0.3">
      <c r="A106" s="48" t="s">
        <v>324</v>
      </c>
      <c r="B106" s="49">
        <v>45561</v>
      </c>
      <c r="C106" s="39" t="s">
        <v>325</v>
      </c>
      <c r="D106" s="39" t="s">
        <v>141</v>
      </c>
      <c r="E106" s="39" t="s">
        <v>49</v>
      </c>
      <c r="F106" s="39" t="s">
        <v>82</v>
      </c>
      <c r="G106" s="39" t="s">
        <v>77</v>
      </c>
      <c r="H106" s="39" t="s">
        <v>66</v>
      </c>
      <c r="I106" s="50">
        <v>15</v>
      </c>
      <c r="J106" s="51">
        <v>220000</v>
      </c>
      <c r="K106" s="51">
        <f t="shared" si="10"/>
        <v>220000</v>
      </c>
      <c r="L106" s="51">
        <f t="shared" si="6"/>
        <v>3300000</v>
      </c>
      <c r="M106" s="39">
        <v>10</v>
      </c>
      <c r="N106" s="51">
        <f t="shared" si="7"/>
        <v>330000</v>
      </c>
      <c r="O106" s="51">
        <f t="shared" si="8"/>
        <v>2970000</v>
      </c>
      <c r="P106" s="39" t="s">
        <v>51</v>
      </c>
      <c r="Q106" s="52" t="s">
        <v>82</v>
      </c>
      <c r="R106" s="27" t="s">
        <v>77</v>
      </c>
      <c r="S106" s="27" t="s">
        <v>66</v>
      </c>
    </row>
    <row r="107" spans="1:19" x14ac:dyDescent="0.3">
      <c r="A107" s="44" t="s">
        <v>326</v>
      </c>
      <c r="B107" s="45">
        <v>45579</v>
      </c>
      <c r="C107" s="38" t="s">
        <v>327</v>
      </c>
      <c r="D107" s="38" t="s">
        <v>48</v>
      </c>
      <c r="E107" s="38" t="s">
        <v>49</v>
      </c>
      <c r="F107" s="38" t="s">
        <v>82</v>
      </c>
      <c r="G107" s="38" t="s">
        <v>77</v>
      </c>
      <c r="H107" s="38" t="s">
        <v>71</v>
      </c>
      <c r="I107" s="46">
        <v>2</v>
      </c>
      <c r="J107" s="47">
        <v>220000</v>
      </c>
      <c r="K107" s="47">
        <f t="shared" si="10"/>
        <v>220000</v>
      </c>
      <c r="L107" s="47">
        <f t="shared" si="6"/>
        <v>440000</v>
      </c>
      <c r="M107" s="38">
        <v>0</v>
      </c>
      <c r="N107" s="47">
        <f t="shared" si="7"/>
        <v>0</v>
      </c>
      <c r="O107" s="47">
        <f t="shared" si="8"/>
        <v>440000</v>
      </c>
      <c r="P107" s="38" t="s">
        <v>51</v>
      </c>
      <c r="Q107" s="43" t="s">
        <v>82</v>
      </c>
      <c r="R107" s="27" t="s">
        <v>77</v>
      </c>
      <c r="S107" s="27" t="s">
        <v>71</v>
      </c>
    </row>
    <row r="108" spans="1:19" x14ac:dyDescent="0.3">
      <c r="A108" s="48" t="s">
        <v>328</v>
      </c>
      <c r="B108" s="49">
        <v>45599</v>
      </c>
      <c r="C108" s="39" t="s">
        <v>329</v>
      </c>
      <c r="D108" s="39" t="s">
        <v>39</v>
      </c>
      <c r="E108" s="39" t="s">
        <v>70</v>
      </c>
      <c r="F108" s="39" t="s">
        <v>92</v>
      </c>
      <c r="G108" s="39" t="s">
        <v>77</v>
      </c>
      <c r="H108" s="39" t="s">
        <v>71</v>
      </c>
      <c r="I108" s="50">
        <v>7</v>
      </c>
      <c r="J108" s="51">
        <v>450000</v>
      </c>
      <c r="K108" s="51">
        <f t="shared" si="10"/>
        <v>450000</v>
      </c>
      <c r="L108" s="51">
        <f t="shared" si="6"/>
        <v>3150000</v>
      </c>
      <c r="M108" s="39">
        <v>0</v>
      </c>
      <c r="N108" s="51">
        <f t="shared" si="7"/>
        <v>0</v>
      </c>
      <c r="O108" s="51">
        <f t="shared" si="8"/>
        <v>3150000</v>
      </c>
      <c r="P108" s="39" t="s">
        <v>44</v>
      </c>
      <c r="Q108" s="52" t="s">
        <v>92</v>
      </c>
      <c r="R108" s="27" t="s">
        <v>77</v>
      </c>
      <c r="S108" s="27" t="s">
        <v>71</v>
      </c>
    </row>
    <row r="109" spans="1:19" x14ac:dyDescent="0.3">
      <c r="A109" s="44" t="s">
        <v>330</v>
      </c>
      <c r="B109" s="45">
        <v>45542</v>
      </c>
      <c r="C109" s="38" t="s">
        <v>331</v>
      </c>
      <c r="D109" s="38" t="s">
        <v>109</v>
      </c>
      <c r="E109" s="38" t="s">
        <v>40</v>
      </c>
      <c r="F109" s="38" t="s">
        <v>99</v>
      </c>
      <c r="G109" s="38" t="s">
        <v>77</v>
      </c>
      <c r="H109" s="38" t="s">
        <v>71</v>
      </c>
      <c r="I109" s="46">
        <v>2</v>
      </c>
      <c r="J109" s="47">
        <v>95000</v>
      </c>
      <c r="K109" s="47">
        <f t="shared" si="10"/>
        <v>95000</v>
      </c>
      <c r="L109" s="47">
        <f t="shared" si="6"/>
        <v>190000</v>
      </c>
      <c r="M109" s="38">
        <v>10</v>
      </c>
      <c r="N109" s="47">
        <f t="shared" si="7"/>
        <v>19000</v>
      </c>
      <c r="O109" s="47">
        <f t="shared" si="8"/>
        <v>171000</v>
      </c>
      <c r="P109" s="38" t="s">
        <v>51</v>
      </c>
      <c r="Q109" s="43" t="s">
        <v>99</v>
      </c>
      <c r="R109" s="27" t="s">
        <v>77</v>
      </c>
      <c r="S109" s="27" t="s">
        <v>71</v>
      </c>
    </row>
    <row r="110" spans="1:19" x14ac:dyDescent="0.3">
      <c r="A110" s="48" t="s">
        <v>332</v>
      </c>
      <c r="B110" s="49">
        <v>45631</v>
      </c>
      <c r="C110" s="39" t="s">
        <v>333</v>
      </c>
      <c r="D110" s="39" t="s">
        <v>141</v>
      </c>
      <c r="E110" s="39" t="s">
        <v>70</v>
      </c>
      <c r="F110" s="39" t="s">
        <v>57</v>
      </c>
      <c r="G110" s="39" t="s">
        <v>42</v>
      </c>
      <c r="H110" s="39" t="s">
        <v>66</v>
      </c>
      <c r="I110" s="50">
        <v>20</v>
      </c>
      <c r="J110" s="51">
        <v>28000</v>
      </c>
      <c r="K110" s="51">
        <f t="shared" si="10"/>
        <v>28000</v>
      </c>
      <c r="L110" s="51">
        <f t="shared" si="6"/>
        <v>560000</v>
      </c>
      <c r="M110" s="39">
        <v>10</v>
      </c>
      <c r="N110" s="51">
        <f t="shared" si="7"/>
        <v>56000</v>
      </c>
      <c r="O110" s="51">
        <f t="shared" si="8"/>
        <v>504000</v>
      </c>
      <c r="P110" s="39" t="s">
        <v>131</v>
      </c>
      <c r="Q110" s="52" t="s">
        <v>57</v>
      </c>
      <c r="R110" s="27" t="s">
        <v>42</v>
      </c>
      <c r="S110" s="27" t="s">
        <v>66</v>
      </c>
    </row>
    <row r="111" spans="1:19" x14ac:dyDescent="0.3">
      <c r="A111" s="44" t="s">
        <v>334</v>
      </c>
      <c r="B111" s="45">
        <v>45480</v>
      </c>
      <c r="C111" s="38" t="s">
        <v>335</v>
      </c>
      <c r="D111" s="38" t="s">
        <v>81</v>
      </c>
      <c r="E111" s="38" t="s">
        <v>49</v>
      </c>
      <c r="F111" s="38" t="s">
        <v>82</v>
      </c>
      <c r="G111" s="38" t="s">
        <v>77</v>
      </c>
      <c r="H111" s="39" t="s">
        <v>981</v>
      </c>
      <c r="I111" s="46">
        <v>4</v>
      </c>
      <c r="J111" s="47">
        <v>220000</v>
      </c>
      <c r="K111" s="47">
        <f t="shared" si="10"/>
        <v>220000</v>
      </c>
      <c r="L111" s="47">
        <f t="shared" si="6"/>
        <v>880000</v>
      </c>
      <c r="M111" s="38">
        <v>20</v>
      </c>
      <c r="N111" s="47">
        <f t="shared" si="7"/>
        <v>176000</v>
      </c>
      <c r="O111" s="47">
        <f t="shared" si="8"/>
        <v>704000</v>
      </c>
      <c r="P111" s="38" t="s">
        <v>44</v>
      </c>
      <c r="Q111" s="43" t="s">
        <v>82</v>
      </c>
      <c r="R111" s="27" t="s">
        <v>77</v>
      </c>
      <c r="S111" s="27" t="s">
        <v>982</v>
      </c>
    </row>
    <row r="112" spans="1:19" x14ac:dyDescent="0.3">
      <c r="A112" s="48" t="s">
        <v>336</v>
      </c>
      <c r="B112" s="49">
        <v>45420</v>
      </c>
      <c r="C112" s="39" t="s">
        <v>337</v>
      </c>
      <c r="D112" s="39" t="s">
        <v>55</v>
      </c>
      <c r="E112" s="39" t="s">
        <v>56</v>
      </c>
      <c r="F112" s="39" t="s">
        <v>92</v>
      </c>
      <c r="G112" s="39" t="s">
        <v>77</v>
      </c>
      <c r="H112" s="39" t="s">
        <v>43</v>
      </c>
      <c r="I112" s="50">
        <v>3</v>
      </c>
      <c r="J112" s="51">
        <v>450000</v>
      </c>
      <c r="K112" s="51">
        <f t="shared" si="10"/>
        <v>450000</v>
      </c>
      <c r="L112" s="51">
        <f t="shared" si="6"/>
        <v>1350000</v>
      </c>
      <c r="M112" s="39">
        <v>5</v>
      </c>
      <c r="N112" s="51">
        <f t="shared" si="7"/>
        <v>67500</v>
      </c>
      <c r="O112" s="51">
        <f t="shared" si="8"/>
        <v>1282500</v>
      </c>
      <c r="P112" s="39" t="s">
        <v>86</v>
      </c>
      <c r="Q112" s="52" t="s">
        <v>92</v>
      </c>
      <c r="R112" s="27" t="s">
        <v>77</v>
      </c>
      <c r="S112" s="27" t="s">
        <v>43</v>
      </c>
    </row>
    <row r="113" spans="1:19" x14ac:dyDescent="0.3">
      <c r="A113" s="44" t="s">
        <v>338</v>
      </c>
      <c r="B113" s="45">
        <v>45365</v>
      </c>
      <c r="C113" s="38" t="s">
        <v>339</v>
      </c>
      <c r="D113" s="38" t="s">
        <v>81</v>
      </c>
      <c r="E113" s="38" t="s">
        <v>40</v>
      </c>
      <c r="F113" s="38" t="s">
        <v>76</v>
      </c>
      <c r="G113" s="38" t="s">
        <v>77</v>
      </c>
      <c r="H113" s="38" t="s">
        <v>43</v>
      </c>
      <c r="I113" s="46">
        <v>5</v>
      </c>
      <c r="J113" s="47">
        <v>180000</v>
      </c>
      <c r="K113" s="47">
        <f t="shared" si="10"/>
        <v>180000</v>
      </c>
      <c r="L113" s="47">
        <f t="shared" si="6"/>
        <v>900000</v>
      </c>
      <c r="M113" s="38">
        <v>0</v>
      </c>
      <c r="N113" s="47">
        <f t="shared" si="7"/>
        <v>0</v>
      </c>
      <c r="O113" s="47">
        <f t="shared" si="8"/>
        <v>900000</v>
      </c>
      <c r="P113" s="38" t="s">
        <v>51</v>
      </c>
      <c r="Q113" s="43" t="s">
        <v>76</v>
      </c>
      <c r="R113" s="27" t="s">
        <v>77</v>
      </c>
      <c r="S113" s="27" t="s">
        <v>43</v>
      </c>
    </row>
    <row r="114" spans="1:19" x14ac:dyDescent="0.3">
      <c r="A114" s="48" t="s">
        <v>340</v>
      </c>
      <c r="B114" s="49">
        <v>45386</v>
      </c>
      <c r="C114" s="39" t="s">
        <v>341</v>
      </c>
      <c r="D114" s="39" t="s">
        <v>48</v>
      </c>
      <c r="E114" s="39" t="s">
        <v>70</v>
      </c>
      <c r="F114" s="39" t="s">
        <v>99</v>
      </c>
      <c r="G114" s="39" t="s">
        <v>77</v>
      </c>
      <c r="H114" s="39" t="s">
        <v>71</v>
      </c>
      <c r="I114" s="50">
        <v>10</v>
      </c>
      <c r="J114" s="51">
        <v>95000</v>
      </c>
      <c r="K114" s="51">
        <f t="shared" si="10"/>
        <v>95000</v>
      </c>
      <c r="L114" s="51">
        <f t="shared" si="6"/>
        <v>950000</v>
      </c>
      <c r="M114" s="39">
        <v>0</v>
      </c>
      <c r="N114" s="51">
        <f t="shared" si="7"/>
        <v>0</v>
      </c>
      <c r="O114" s="51">
        <f t="shared" si="8"/>
        <v>950000</v>
      </c>
      <c r="P114" s="39" t="s">
        <v>131</v>
      </c>
      <c r="Q114" s="52" t="s">
        <v>99</v>
      </c>
      <c r="R114" s="27" t="s">
        <v>77</v>
      </c>
      <c r="S114" s="27" t="s">
        <v>71</v>
      </c>
    </row>
    <row r="115" spans="1:19" x14ac:dyDescent="0.3">
      <c r="A115" s="44" t="s">
        <v>342</v>
      </c>
      <c r="B115" s="45">
        <v>45523</v>
      </c>
      <c r="C115" s="38" t="s">
        <v>343</v>
      </c>
      <c r="D115" s="38" t="s">
        <v>118</v>
      </c>
      <c r="E115" s="38" t="s">
        <v>49</v>
      </c>
      <c r="F115" s="38" t="s">
        <v>41</v>
      </c>
      <c r="G115" s="38" t="s">
        <v>42</v>
      </c>
      <c r="H115" s="38" t="s">
        <v>71</v>
      </c>
      <c r="I115" s="46">
        <v>18</v>
      </c>
      <c r="J115" s="47">
        <v>35000</v>
      </c>
      <c r="K115" s="47">
        <f t="shared" si="10"/>
        <v>35000</v>
      </c>
      <c r="L115" s="47">
        <f t="shared" si="6"/>
        <v>630000</v>
      </c>
      <c r="M115" s="38">
        <v>0</v>
      </c>
      <c r="N115" s="47">
        <f t="shared" si="7"/>
        <v>0</v>
      </c>
      <c r="O115" s="47">
        <f t="shared" si="8"/>
        <v>630000</v>
      </c>
      <c r="P115" s="38" t="s">
        <v>51</v>
      </c>
      <c r="Q115" s="43" t="s">
        <v>41</v>
      </c>
      <c r="R115" s="27" t="s">
        <v>42</v>
      </c>
      <c r="S115" s="27" t="s">
        <v>71</v>
      </c>
    </row>
    <row r="116" spans="1:19" x14ac:dyDescent="0.3">
      <c r="A116" s="48" t="s">
        <v>345</v>
      </c>
      <c r="B116" s="49">
        <v>45506</v>
      </c>
      <c r="C116" s="39" t="s">
        <v>346</v>
      </c>
      <c r="D116" s="39" t="s">
        <v>81</v>
      </c>
      <c r="E116" s="39" t="s">
        <v>49</v>
      </c>
      <c r="F116" s="39" t="s">
        <v>92</v>
      </c>
      <c r="G116" s="39" t="s">
        <v>77</v>
      </c>
      <c r="H116" s="39" t="s">
        <v>66</v>
      </c>
      <c r="I116" s="50">
        <v>14</v>
      </c>
      <c r="J116" s="51">
        <v>450000</v>
      </c>
      <c r="K116" s="51">
        <f t="shared" si="10"/>
        <v>450000</v>
      </c>
      <c r="L116" s="51">
        <f t="shared" si="6"/>
        <v>6300000</v>
      </c>
      <c r="M116" s="39">
        <v>10</v>
      </c>
      <c r="N116" s="51">
        <f t="shared" si="7"/>
        <v>630000</v>
      </c>
      <c r="O116" s="51">
        <f t="shared" si="8"/>
        <v>5670000</v>
      </c>
      <c r="P116" s="39" t="s">
        <v>51</v>
      </c>
      <c r="Q116" s="52" t="s">
        <v>92</v>
      </c>
      <c r="R116" s="27" t="s">
        <v>77</v>
      </c>
      <c r="S116" s="27" t="s">
        <v>66</v>
      </c>
    </row>
    <row r="117" spans="1:19" x14ac:dyDescent="0.3">
      <c r="A117" s="44" t="s">
        <v>347</v>
      </c>
      <c r="B117" s="45">
        <v>45364</v>
      </c>
      <c r="C117" s="38" t="s">
        <v>348</v>
      </c>
      <c r="D117" s="38" t="s">
        <v>48</v>
      </c>
      <c r="E117" s="38" t="s">
        <v>49</v>
      </c>
      <c r="F117" s="38" t="s">
        <v>92</v>
      </c>
      <c r="G117" s="38" t="s">
        <v>77</v>
      </c>
      <c r="H117" s="38" t="s">
        <v>71</v>
      </c>
      <c r="I117" s="46">
        <v>14</v>
      </c>
      <c r="J117" s="47">
        <v>450000</v>
      </c>
      <c r="K117" s="47">
        <f t="shared" si="10"/>
        <v>450000</v>
      </c>
      <c r="L117" s="47">
        <f t="shared" si="6"/>
        <v>6300000</v>
      </c>
      <c r="M117" s="38">
        <v>0</v>
      </c>
      <c r="N117" s="47">
        <f t="shared" si="7"/>
        <v>0</v>
      </c>
      <c r="O117" s="47">
        <f t="shared" si="8"/>
        <v>6300000</v>
      </c>
      <c r="P117" s="38" t="s">
        <v>51</v>
      </c>
      <c r="Q117" s="43" t="s">
        <v>92</v>
      </c>
      <c r="R117" s="27" t="s">
        <v>77</v>
      </c>
      <c r="S117" s="27" t="s">
        <v>71</v>
      </c>
    </row>
    <row r="118" spans="1:19" x14ac:dyDescent="0.3">
      <c r="A118" s="48" t="s">
        <v>349</v>
      </c>
      <c r="B118" s="49">
        <v>45587</v>
      </c>
      <c r="C118" s="39" t="s">
        <v>350</v>
      </c>
      <c r="D118" s="39" t="s">
        <v>981</v>
      </c>
      <c r="E118" s="39" t="s">
        <v>40</v>
      </c>
      <c r="F118" s="39" t="s">
        <v>41</v>
      </c>
      <c r="G118" s="39" t="s">
        <v>42</v>
      </c>
      <c r="H118" s="39" t="s">
        <v>71</v>
      </c>
      <c r="I118" s="50">
        <v>15</v>
      </c>
      <c r="J118" s="51">
        <v>35000</v>
      </c>
      <c r="K118" s="51">
        <f t="shared" si="10"/>
        <v>35000</v>
      </c>
      <c r="L118" s="51">
        <f t="shared" si="6"/>
        <v>525000</v>
      </c>
      <c r="M118" s="39">
        <v>10</v>
      </c>
      <c r="N118" s="51">
        <f t="shared" si="7"/>
        <v>52500</v>
      </c>
      <c r="O118" s="51">
        <f t="shared" si="8"/>
        <v>472500</v>
      </c>
      <c r="P118" s="39" t="s">
        <v>44</v>
      </c>
      <c r="Q118" s="52" t="s">
        <v>41</v>
      </c>
      <c r="R118" s="27" t="s">
        <v>42</v>
      </c>
      <c r="S118" s="27" t="s">
        <v>71</v>
      </c>
    </row>
    <row r="119" spans="1:19" x14ac:dyDescent="0.3">
      <c r="A119" s="44" t="s">
        <v>351</v>
      </c>
      <c r="B119" s="45">
        <v>45613</v>
      </c>
      <c r="C119" s="38" t="s">
        <v>352</v>
      </c>
      <c r="D119" s="38" t="s">
        <v>39</v>
      </c>
      <c r="E119" s="38" t="s">
        <v>49</v>
      </c>
      <c r="F119" s="38" t="s">
        <v>99</v>
      </c>
      <c r="G119" s="38" t="s">
        <v>77</v>
      </c>
      <c r="H119" s="38" t="s">
        <v>43</v>
      </c>
      <c r="I119" s="46">
        <v>10</v>
      </c>
      <c r="J119" s="47">
        <v>95000</v>
      </c>
      <c r="K119" s="47">
        <f t="shared" si="10"/>
        <v>95000</v>
      </c>
      <c r="L119" s="47">
        <f t="shared" si="6"/>
        <v>950000</v>
      </c>
      <c r="M119" s="38">
        <v>0</v>
      </c>
      <c r="N119" s="47">
        <f t="shared" si="7"/>
        <v>0</v>
      </c>
      <c r="O119" s="47">
        <f t="shared" si="8"/>
        <v>950000</v>
      </c>
      <c r="P119" s="38" t="s">
        <v>44</v>
      </c>
      <c r="Q119" s="43" t="s">
        <v>99</v>
      </c>
      <c r="R119" s="27" t="s">
        <v>77</v>
      </c>
      <c r="S119" s="27" t="s">
        <v>43</v>
      </c>
    </row>
    <row r="120" spans="1:19" x14ac:dyDescent="0.3">
      <c r="A120" s="48" t="s">
        <v>353</v>
      </c>
      <c r="B120" s="49">
        <v>45398</v>
      </c>
      <c r="C120" s="39" t="s">
        <v>354</v>
      </c>
      <c r="D120" s="39" t="s">
        <v>65</v>
      </c>
      <c r="E120" s="39" t="s">
        <v>70</v>
      </c>
      <c r="F120" s="39" t="s">
        <v>92</v>
      </c>
      <c r="G120" s="39" t="s">
        <v>77</v>
      </c>
      <c r="H120" s="39" t="s">
        <v>43</v>
      </c>
      <c r="I120" s="50">
        <v>13</v>
      </c>
      <c r="J120" s="51">
        <v>450000</v>
      </c>
      <c r="K120" s="51">
        <f t="shared" si="10"/>
        <v>450000</v>
      </c>
      <c r="L120" s="51">
        <f t="shared" si="6"/>
        <v>5850000</v>
      </c>
      <c r="M120" s="39">
        <v>10</v>
      </c>
      <c r="N120" s="51">
        <f t="shared" si="7"/>
        <v>585000</v>
      </c>
      <c r="O120" s="51">
        <f t="shared" si="8"/>
        <v>5265000</v>
      </c>
      <c r="P120" s="39" t="s">
        <v>44</v>
      </c>
      <c r="Q120" s="52" t="s">
        <v>92</v>
      </c>
      <c r="R120" s="27" t="s">
        <v>77</v>
      </c>
      <c r="S120" s="27" t="s">
        <v>43</v>
      </c>
    </row>
    <row r="121" spans="1:19" x14ac:dyDescent="0.3">
      <c r="A121" s="44" t="s">
        <v>355</v>
      </c>
      <c r="B121" s="45">
        <v>45567</v>
      </c>
      <c r="C121" s="38" t="s">
        <v>356</v>
      </c>
      <c r="D121" s="38" t="s">
        <v>75</v>
      </c>
      <c r="E121" s="38" t="s">
        <v>49</v>
      </c>
      <c r="F121" s="38" t="s">
        <v>92</v>
      </c>
      <c r="G121" s="38" t="s">
        <v>77</v>
      </c>
      <c r="H121" s="38" t="s">
        <v>71</v>
      </c>
      <c r="I121" s="46">
        <v>15</v>
      </c>
      <c r="J121" s="47">
        <v>-5000</v>
      </c>
      <c r="K121" s="51">
        <v>450000</v>
      </c>
      <c r="L121" s="47">
        <f t="shared" si="6"/>
        <v>6750000</v>
      </c>
      <c r="M121" s="38">
        <v>10</v>
      </c>
      <c r="N121" s="47">
        <f t="shared" si="7"/>
        <v>675000</v>
      </c>
      <c r="O121" s="47">
        <f t="shared" si="8"/>
        <v>6075000</v>
      </c>
      <c r="P121" s="38" t="s">
        <v>51</v>
      </c>
      <c r="Q121" s="43" t="s">
        <v>92</v>
      </c>
      <c r="R121" s="27" t="s">
        <v>77</v>
      </c>
      <c r="S121" s="27" t="s">
        <v>71</v>
      </c>
    </row>
    <row r="122" spans="1:19" x14ac:dyDescent="0.3">
      <c r="A122" s="48" t="s">
        <v>357</v>
      </c>
      <c r="B122" s="49">
        <v>45358</v>
      </c>
      <c r="C122" s="39" t="s">
        <v>358</v>
      </c>
      <c r="D122" s="39" t="s">
        <v>141</v>
      </c>
      <c r="E122" s="39" t="s">
        <v>56</v>
      </c>
      <c r="F122" s="39" t="s">
        <v>76</v>
      </c>
      <c r="G122" s="39" t="s">
        <v>77</v>
      </c>
      <c r="H122" s="39" t="s">
        <v>43</v>
      </c>
      <c r="I122" s="50">
        <v>18</v>
      </c>
      <c r="J122" s="51">
        <v>180000</v>
      </c>
      <c r="K122" s="51">
        <f t="shared" ref="K122:K147" si="11">J122</f>
        <v>180000</v>
      </c>
      <c r="L122" s="51">
        <f t="shared" si="6"/>
        <v>3240000</v>
      </c>
      <c r="M122" s="39">
        <v>0</v>
      </c>
      <c r="N122" s="51">
        <f t="shared" si="7"/>
        <v>0</v>
      </c>
      <c r="O122" s="51">
        <f t="shared" si="8"/>
        <v>3240000</v>
      </c>
      <c r="P122" s="39" t="s">
        <v>86</v>
      </c>
      <c r="Q122" s="52" t="s">
        <v>76</v>
      </c>
      <c r="R122" s="27" t="s">
        <v>77</v>
      </c>
      <c r="S122" s="27" t="s">
        <v>43</v>
      </c>
    </row>
    <row r="123" spans="1:19" x14ac:dyDescent="0.3">
      <c r="A123" s="44" t="s">
        <v>359</v>
      </c>
      <c r="B123" s="45">
        <v>45293</v>
      </c>
      <c r="C123" s="38" t="s">
        <v>360</v>
      </c>
      <c r="D123" s="38" t="s">
        <v>48</v>
      </c>
      <c r="E123" s="38" t="s">
        <v>49</v>
      </c>
      <c r="F123" s="38" t="s">
        <v>92</v>
      </c>
      <c r="G123" s="38" t="s">
        <v>77</v>
      </c>
      <c r="H123" s="38" t="s">
        <v>71</v>
      </c>
      <c r="I123" s="46">
        <v>15</v>
      </c>
      <c r="J123" s="47">
        <v>450000</v>
      </c>
      <c r="K123" s="47">
        <f t="shared" si="11"/>
        <v>450000</v>
      </c>
      <c r="L123" s="47">
        <f t="shared" si="6"/>
        <v>6750000</v>
      </c>
      <c r="M123" s="38">
        <v>5</v>
      </c>
      <c r="N123" s="47">
        <f t="shared" si="7"/>
        <v>337500</v>
      </c>
      <c r="O123" s="47">
        <f t="shared" si="8"/>
        <v>6412500</v>
      </c>
      <c r="P123" s="38" t="s">
        <v>131</v>
      </c>
      <c r="Q123" s="43" t="s">
        <v>92</v>
      </c>
      <c r="R123" s="27" t="s">
        <v>77</v>
      </c>
      <c r="S123" s="27" t="s">
        <v>71</v>
      </c>
    </row>
    <row r="124" spans="1:19" x14ac:dyDescent="0.3">
      <c r="A124" s="48" t="s">
        <v>361</v>
      </c>
      <c r="B124" s="49">
        <v>45644</v>
      </c>
      <c r="C124" s="39" t="s">
        <v>362</v>
      </c>
      <c r="D124" s="39" t="s">
        <v>65</v>
      </c>
      <c r="E124" s="39" t="s">
        <v>70</v>
      </c>
      <c r="F124" s="39" t="s">
        <v>50</v>
      </c>
      <c r="G124" s="39" t="s">
        <v>42</v>
      </c>
      <c r="H124" s="39" t="s">
        <v>43</v>
      </c>
      <c r="I124" s="50">
        <v>2</v>
      </c>
      <c r="J124" s="51">
        <v>18000</v>
      </c>
      <c r="K124" s="51">
        <f t="shared" si="11"/>
        <v>18000</v>
      </c>
      <c r="L124" s="51">
        <f t="shared" si="6"/>
        <v>36000</v>
      </c>
      <c r="M124" s="39">
        <v>10</v>
      </c>
      <c r="N124" s="51">
        <f t="shared" si="7"/>
        <v>3600</v>
      </c>
      <c r="O124" s="51">
        <f t="shared" si="8"/>
        <v>32400</v>
      </c>
      <c r="P124" s="39" t="s">
        <v>44</v>
      </c>
      <c r="Q124" s="52" t="s">
        <v>50</v>
      </c>
      <c r="R124" s="27" t="s">
        <v>42</v>
      </c>
      <c r="S124" s="27" t="s">
        <v>43</v>
      </c>
    </row>
    <row r="125" spans="1:19" x14ac:dyDescent="0.3">
      <c r="A125" s="44" t="s">
        <v>363</v>
      </c>
      <c r="B125" s="45">
        <v>45635</v>
      </c>
      <c r="C125" s="38" t="s">
        <v>248</v>
      </c>
      <c r="D125" s="38" t="s">
        <v>109</v>
      </c>
      <c r="E125" s="38" t="s">
        <v>40</v>
      </c>
      <c r="F125" s="38" t="s">
        <v>41</v>
      </c>
      <c r="G125" s="38" t="s">
        <v>42</v>
      </c>
      <c r="H125" s="38" t="s">
        <v>66</v>
      </c>
      <c r="I125" s="46">
        <v>20</v>
      </c>
      <c r="J125" s="47">
        <v>35000</v>
      </c>
      <c r="K125" s="47">
        <f t="shared" si="11"/>
        <v>35000</v>
      </c>
      <c r="L125" s="47">
        <f t="shared" si="6"/>
        <v>700000</v>
      </c>
      <c r="M125" s="38">
        <v>15</v>
      </c>
      <c r="N125" s="47">
        <f t="shared" si="7"/>
        <v>105000</v>
      </c>
      <c r="O125" s="47">
        <f t="shared" si="8"/>
        <v>595000</v>
      </c>
      <c r="P125" s="38" t="s">
        <v>51</v>
      </c>
      <c r="Q125" s="43" t="s">
        <v>41</v>
      </c>
      <c r="R125" s="27" t="s">
        <v>42</v>
      </c>
      <c r="S125" s="27" t="s">
        <v>66</v>
      </c>
    </row>
    <row r="126" spans="1:19" x14ac:dyDescent="0.3">
      <c r="A126" s="48" t="s">
        <v>364</v>
      </c>
      <c r="B126" s="49">
        <v>45419</v>
      </c>
      <c r="C126" s="39" t="s">
        <v>365</v>
      </c>
      <c r="D126" s="39" t="s">
        <v>48</v>
      </c>
      <c r="E126" s="39" t="s">
        <v>70</v>
      </c>
      <c r="F126" s="39" t="s">
        <v>99</v>
      </c>
      <c r="G126" s="39" t="s">
        <v>77</v>
      </c>
      <c r="H126" s="39" t="s">
        <v>66</v>
      </c>
      <c r="I126" s="50">
        <v>4</v>
      </c>
      <c r="J126" s="51">
        <v>95000</v>
      </c>
      <c r="K126" s="51">
        <f t="shared" si="11"/>
        <v>95000</v>
      </c>
      <c r="L126" s="51">
        <f t="shared" si="6"/>
        <v>380000</v>
      </c>
      <c r="M126" s="39">
        <v>0</v>
      </c>
      <c r="N126" s="51">
        <f t="shared" si="7"/>
        <v>0</v>
      </c>
      <c r="O126" s="51">
        <f t="shared" si="8"/>
        <v>380000</v>
      </c>
      <c r="P126" s="39" t="s">
        <v>44</v>
      </c>
      <c r="Q126" s="52" t="s">
        <v>99</v>
      </c>
      <c r="R126" s="27" t="s">
        <v>77</v>
      </c>
      <c r="S126" s="27" t="s">
        <v>66</v>
      </c>
    </row>
    <row r="127" spans="1:19" x14ac:dyDescent="0.3">
      <c r="A127" s="44" t="s">
        <v>366</v>
      </c>
      <c r="B127" s="45">
        <v>45482</v>
      </c>
      <c r="C127" s="38" t="s">
        <v>367</v>
      </c>
      <c r="D127" s="38" t="s">
        <v>48</v>
      </c>
      <c r="E127" s="38" t="s">
        <v>70</v>
      </c>
      <c r="F127" s="38" t="s">
        <v>76</v>
      </c>
      <c r="G127" s="38" t="s">
        <v>77</v>
      </c>
      <c r="H127" s="38" t="s">
        <v>43</v>
      </c>
      <c r="I127" s="46">
        <v>1</v>
      </c>
      <c r="J127" s="47">
        <v>180000</v>
      </c>
      <c r="K127" s="47">
        <f t="shared" si="11"/>
        <v>180000</v>
      </c>
      <c r="L127" s="47">
        <f t="shared" si="6"/>
        <v>180000</v>
      </c>
      <c r="M127" s="38">
        <v>0</v>
      </c>
      <c r="N127" s="47">
        <f t="shared" si="7"/>
        <v>0</v>
      </c>
      <c r="O127" s="47">
        <f t="shared" si="8"/>
        <v>180000</v>
      </c>
      <c r="P127" s="38" t="s">
        <v>51</v>
      </c>
      <c r="Q127" s="43" t="s">
        <v>76</v>
      </c>
      <c r="R127" s="27" t="s">
        <v>77</v>
      </c>
      <c r="S127" s="27" t="s">
        <v>43</v>
      </c>
    </row>
    <row r="128" spans="1:19" x14ac:dyDescent="0.3">
      <c r="A128" s="48" t="s">
        <v>368</v>
      </c>
      <c r="B128" s="49">
        <v>45337</v>
      </c>
      <c r="C128" s="39" t="s">
        <v>369</v>
      </c>
      <c r="D128" s="39" t="s">
        <v>81</v>
      </c>
      <c r="E128" s="39" t="s">
        <v>70</v>
      </c>
      <c r="F128" s="39" t="s">
        <v>92</v>
      </c>
      <c r="G128" s="39" t="s">
        <v>77</v>
      </c>
      <c r="H128" s="39" t="s">
        <v>43</v>
      </c>
      <c r="I128" s="50">
        <v>2</v>
      </c>
      <c r="J128" s="51">
        <v>450000</v>
      </c>
      <c r="K128" s="51">
        <f t="shared" si="11"/>
        <v>450000</v>
      </c>
      <c r="L128" s="51">
        <f t="shared" si="6"/>
        <v>900000</v>
      </c>
      <c r="M128" s="39">
        <v>15</v>
      </c>
      <c r="N128" s="51">
        <f t="shared" si="7"/>
        <v>135000</v>
      </c>
      <c r="O128" s="51">
        <f t="shared" si="8"/>
        <v>765000</v>
      </c>
      <c r="P128" s="39" t="s">
        <v>44</v>
      </c>
      <c r="Q128" s="52" t="s">
        <v>92</v>
      </c>
      <c r="R128" s="27" t="s">
        <v>77</v>
      </c>
      <c r="S128" s="27" t="s">
        <v>43</v>
      </c>
    </row>
    <row r="129" spans="1:19" x14ac:dyDescent="0.3">
      <c r="A129" s="44" t="s">
        <v>370</v>
      </c>
      <c r="B129" s="45">
        <v>45550</v>
      </c>
      <c r="C129" s="38" t="s">
        <v>371</v>
      </c>
      <c r="D129" s="38" t="s">
        <v>154</v>
      </c>
      <c r="E129" s="38" t="s">
        <v>40</v>
      </c>
      <c r="F129" s="38" t="s">
        <v>82</v>
      </c>
      <c r="G129" s="38" t="s">
        <v>77</v>
      </c>
      <c r="H129" s="38" t="s">
        <v>43</v>
      </c>
      <c r="I129" s="46">
        <v>11</v>
      </c>
      <c r="J129" s="47">
        <v>220000</v>
      </c>
      <c r="K129" s="47">
        <f t="shared" si="11"/>
        <v>220000</v>
      </c>
      <c r="L129" s="47">
        <f t="shared" si="6"/>
        <v>2420000</v>
      </c>
      <c r="M129" s="38">
        <v>0</v>
      </c>
      <c r="N129" s="47">
        <f t="shared" si="7"/>
        <v>0</v>
      </c>
      <c r="O129" s="47">
        <f t="shared" si="8"/>
        <v>2420000</v>
      </c>
      <c r="P129" s="38" t="s">
        <v>131</v>
      </c>
      <c r="Q129" s="43" t="s">
        <v>82</v>
      </c>
      <c r="R129" s="27" t="s">
        <v>77</v>
      </c>
      <c r="S129" s="27" t="s">
        <v>43</v>
      </c>
    </row>
    <row r="130" spans="1:19" x14ac:dyDescent="0.3">
      <c r="A130" s="48" t="s">
        <v>372</v>
      </c>
      <c r="B130" s="49">
        <v>45637</v>
      </c>
      <c r="C130" s="39" t="s">
        <v>373</v>
      </c>
      <c r="D130" s="39" t="s">
        <v>75</v>
      </c>
      <c r="E130" s="39" t="s">
        <v>40</v>
      </c>
      <c r="F130" s="39" t="s">
        <v>76</v>
      </c>
      <c r="G130" s="39" t="s">
        <v>77</v>
      </c>
      <c r="H130" s="39" t="s">
        <v>43</v>
      </c>
      <c r="I130" s="50">
        <v>13</v>
      </c>
      <c r="J130" s="51">
        <v>180000</v>
      </c>
      <c r="K130" s="51">
        <f t="shared" si="11"/>
        <v>180000</v>
      </c>
      <c r="L130" s="51">
        <f t="shared" ref="L130:L193" si="12">I130*K130</f>
        <v>2340000</v>
      </c>
      <c r="M130" s="39">
        <v>15</v>
      </c>
      <c r="N130" s="51">
        <f t="shared" ref="N130:N193" si="13">M130/100 * L130</f>
        <v>351000</v>
      </c>
      <c r="O130" s="51">
        <f t="shared" ref="O130:O193" si="14">L130-N130</f>
        <v>1989000</v>
      </c>
      <c r="P130" s="39" t="s">
        <v>86</v>
      </c>
      <c r="Q130" s="52" t="s">
        <v>76</v>
      </c>
      <c r="R130" s="27" t="s">
        <v>77</v>
      </c>
      <c r="S130" s="27" t="s">
        <v>43</v>
      </c>
    </row>
    <row r="131" spans="1:19" x14ac:dyDescent="0.3">
      <c r="A131" s="44" t="s">
        <v>374</v>
      </c>
      <c r="B131" s="45">
        <v>45592</v>
      </c>
      <c r="C131" s="38" t="s">
        <v>375</v>
      </c>
      <c r="D131" s="38" t="s">
        <v>48</v>
      </c>
      <c r="E131" s="38" t="s">
        <v>70</v>
      </c>
      <c r="F131" s="38" t="s">
        <v>50</v>
      </c>
      <c r="G131" s="38" t="s">
        <v>42</v>
      </c>
      <c r="H131" s="38" t="s">
        <v>66</v>
      </c>
      <c r="I131" s="46">
        <v>8</v>
      </c>
      <c r="J131" s="47">
        <v>18000</v>
      </c>
      <c r="K131" s="47">
        <f t="shared" si="11"/>
        <v>18000</v>
      </c>
      <c r="L131" s="47">
        <f t="shared" si="12"/>
        <v>144000</v>
      </c>
      <c r="M131" s="38">
        <v>15</v>
      </c>
      <c r="N131" s="47">
        <f t="shared" si="13"/>
        <v>21600</v>
      </c>
      <c r="O131" s="47">
        <f t="shared" si="14"/>
        <v>122400</v>
      </c>
      <c r="P131" s="38" t="s">
        <v>86</v>
      </c>
      <c r="Q131" s="43" t="s">
        <v>50</v>
      </c>
      <c r="R131" s="27" t="s">
        <v>42</v>
      </c>
      <c r="S131" s="27" t="s">
        <v>66</v>
      </c>
    </row>
    <row r="132" spans="1:19" x14ac:dyDescent="0.3">
      <c r="A132" s="48" t="s">
        <v>376</v>
      </c>
      <c r="B132" s="49">
        <v>45522</v>
      </c>
      <c r="C132" s="39" t="s">
        <v>377</v>
      </c>
      <c r="D132" s="39" t="s">
        <v>48</v>
      </c>
      <c r="E132" s="39" t="s">
        <v>40</v>
      </c>
      <c r="F132" s="39" t="s">
        <v>82</v>
      </c>
      <c r="G132" s="39" t="s">
        <v>77</v>
      </c>
      <c r="H132" s="39" t="s">
        <v>43</v>
      </c>
      <c r="I132" s="50">
        <v>2</v>
      </c>
      <c r="J132" s="51">
        <v>220000</v>
      </c>
      <c r="K132" s="51">
        <f t="shared" si="11"/>
        <v>220000</v>
      </c>
      <c r="L132" s="51">
        <f t="shared" si="12"/>
        <v>440000</v>
      </c>
      <c r="M132" s="39">
        <v>15</v>
      </c>
      <c r="N132" s="51">
        <f t="shared" si="13"/>
        <v>66000</v>
      </c>
      <c r="O132" s="51">
        <f t="shared" si="14"/>
        <v>374000</v>
      </c>
      <c r="P132" s="39" t="s">
        <v>131</v>
      </c>
      <c r="Q132" s="52" t="s">
        <v>82</v>
      </c>
      <c r="R132" s="27" t="s">
        <v>77</v>
      </c>
      <c r="S132" s="27" t="s">
        <v>43</v>
      </c>
    </row>
    <row r="133" spans="1:19" x14ac:dyDescent="0.3">
      <c r="A133" s="44" t="s">
        <v>378</v>
      </c>
      <c r="B133" s="45">
        <v>45579</v>
      </c>
      <c r="C133" s="38" t="s">
        <v>379</v>
      </c>
      <c r="D133" s="38" t="s">
        <v>118</v>
      </c>
      <c r="E133" s="38" t="s">
        <v>49</v>
      </c>
      <c r="F133" s="38" t="s">
        <v>82</v>
      </c>
      <c r="G133" s="38" t="s">
        <v>77</v>
      </c>
      <c r="H133" s="38" t="s">
        <v>43</v>
      </c>
      <c r="I133" s="46">
        <v>5</v>
      </c>
      <c r="J133" s="47">
        <v>220000</v>
      </c>
      <c r="K133" s="47">
        <f t="shared" si="11"/>
        <v>220000</v>
      </c>
      <c r="L133" s="47">
        <f t="shared" si="12"/>
        <v>1100000</v>
      </c>
      <c r="M133" s="38">
        <v>5</v>
      </c>
      <c r="N133" s="47">
        <f t="shared" si="13"/>
        <v>55000</v>
      </c>
      <c r="O133" s="47">
        <f t="shared" si="14"/>
        <v>1045000</v>
      </c>
      <c r="P133" s="38" t="s">
        <v>86</v>
      </c>
      <c r="Q133" s="43" t="s">
        <v>82</v>
      </c>
      <c r="R133" s="27" t="s">
        <v>77</v>
      </c>
      <c r="S133" s="27" t="s">
        <v>43</v>
      </c>
    </row>
    <row r="134" spans="1:19" x14ac:dyDescent="0.3">
      <c r="A134" s="48" t="s">
        <v>380</v>
      </c>
      <c r="B134" s="49">
        <v>45352</v>
      </c>
      <c r="C134" s="39" t="s">
        <v>381</v>
      </c>
      <c r="D134" s="39" t="s">
        <v>109</v>
      </c>
      <c r="E134" s="39" t="s">
        <v>49</v>
      </c>
      <c r="F134" s="39" t="s">
        <v>99</v>
      </c>
      <c r="G134" s="39" t="s">
        <v>77</v>
      </c>
      <c r="H134" s="39" t="s">
        <v>71</v>
      </c>
      <c r="I134" s="50">
        <v>9</v>
      </c>
      <c r="J134" s="51">
        <v>95000</v>
      </c>
      <c r="K134" s="51">
        <f t="shared" si="11"/>
        <v>95000</v>
      </c>
      <c r="L134" s="51">
        <f t="shared" si="12"/>
        <v>855000</v>
      </c>
      <c r="M134" s="39">
        <v>20</v>
      </c>
      <c r="N134" s="51">
        <f t="shared" si="13"/>
        <v>171000</v>
      </c>
      <c r="O134" s="51">
        <f t="shared" si="14"/>
        <v>684000</v>
      </c>
      <c r="P134" s="39" t="s">
        <v>131</v>
      </c>
      <c r="Q134" s="52" t="s">
        <v>99</v>
      </c>
      <c r="R134" s="27" t="s">
        <v>77</v>
      </c>
      <c r="S134" s="27" t="s">
        <v>71</v>
      </c>
    </row>
    <row r="135" spans="1:19" x14ac:dyDescent="0.3">
      <c r="A135" s="48" t="s">
        <v>382</v>
      </c>
      <c r="B135" s="49">
        <v>45599</v>
      </c>
      <c r="C135" s="39" t="s">
        <v>383</v>
      </c>
      <c r="D135" s="39" t="s">
        <v>55</v>
      </c>
      <c r="E135" s="39" t="s">
        <v>70</v>
      </c>
      <c r="F135" s="39" t="s">
        <v>50</v>
      </c>
      <c r="G135" s="39" t="s">
        <v>42</v>
      </c>
      <c r="H135" s="39" t="s">
        <v>66</v>
      </c>
      <c r="I135" s="50">
        <v>12</v>
      </c>
      <c r="J135" s="51">
        <v>18000</v>
      </c>
      <c r="K135" s="51">
        <f t="shared" si="11"/>
        <v>18000</v>
      </c>
      <c r="L135" s="51">
        <f t="shared" si="12"/>
        <v>216000</v>
      </c>
      <c r="M135" s="39">
        <v>0</v>
      </c>
      <c r="N135" s="51">
        <f t="shared" si="13"/>
        <v>0</v>
      </c>
      <c r="O135" s="51">
        <f t="shared" si="14"/>
        <v>216000</v>
      </c>
      <c r="P135" s="39" t="s">
        <v>51</v>
      </c>
      <c r="Q135" s="52" t="s">
        <v>50</v>
      </c>
      <c r="R135" s="27" t="s">
        <v>42</v>
      </c>
      <c r="S135" s="27" t="s">
        <v>66</v>
      </c>
    </row>
    <row r="136" spans="1:19" x14ac:dyDescent="0.3">
      <c r="A136" s="44" t="s">
        <v>384</v>
      </c>
      <c r="B136" s="45">
        <v>45612</v>
      </c>
      <c r="C136" s="38" t="s">
        <v>385</v>
      </c>
      <c r="D136" s="38" t="s">
        <v>109</v>
      </c>
      <c r="E136" s="38" t="s">
        <v>70</v>
      </c>
      <c r="F136" s="38" t="s">
        <v>61</v>
      </c>
      <c r="G136" s="38" t="s">
        <v>42</v>
      </c>
      <c r="H136" s="38" t="s">
        <v>66</v>
      </c>
      <c r="I136" s="46">
        <v>9</v>
      </c>
      <c r="J136" s="47">
        <v>22000</v>
      </c>
      <c r="K136" s="47">
        <f t="shared" si="11"/>
        <v>22000</v>
      </c>
      <c r="L136" s="47">
        <f t="shared" si="12"/>
        <v>198000</v>
      </c>
      <c r="M136" s="38">
        <v>0</v>
      </c>
      <c r="N136" s="47">
        <f t="shared" si="13"/>
        <v>0</v>
      </c>
      <c r="O136" s="47">
        <f t="shared" si="14"/>
        <v>198000</v>
      </c>
      <c r="P136" s="38" t="s">
        <v>51</v>
      </c>
      <c r="Q136" s="43" t="s">
        <v>61</v>
      </c>
      <c r="R136" s="27" t="s">
        <v>42</v>
      </c>
      <c r="S136" s="27" t="s">
        <v>66</v>
      </c>
    </row>
    <row r="137" spans="1:19" x14ac:dyDescent="0.3">
      <c r="A137" s="48" t="s">
        <v>386</v>
      </c>
      <c r="B137" s="49">
        <v>45635</v>
      </c>
      <c r="C137" s="39" t="s">
        <v>387</v>
      </c>
      <c r="D137" s="39" t="s">
        <v>81</v>
      </c>
      <c r="E137" s="39" t="s">
        <v>56</v>
      </c>
      <c r="F137" s="39" t="s">
        <v>82</v>
      </c>
      <c r="G137" s="39" t="s">
        <v>77</v>
      </c>
      <c r="H137" s="39" t="s">
        <v>66</v>
      </c>
      <c r="I137" s="50">
        <v>1</v>
      </c>
      <c r="J137" s="51">
        <v>220000</v>
      </c>
      <c r="K137" s="51">
        <f t="shared" si="11"/>
        <v>220000</v>
      </c>
      <c r="L137" s="51">
        <f t="shared" si="12"/>
        <v>220000</v>
      </c>
      <c r="M137" s="39">
        <v>15</v>
      </c>
      <c r="N137" s="51">
        <f t="shared" si="13"/>
        <v>33000</v>
      </c>
      <c r="O137" s="51">
        <f t="shared" si="14"/>
        <v>187000</v>
      </c>
      <c r="P137" s="39" t="s">
        <v>51</v>
      </c>
      <c r="Q137" s="52" t="s">
        <v>82</v>
      </c>
      <c r="R137" s="27" t="s">
        <v>77</v>
      </c>
      <c r="S137" s="27" t="s">
        <v>66</v>
      </c>
    </row>
    <row r="138" spans="1:19" x14ac:dyDescent="0.3">
      <c r="A138" s="44" t="s">
        <v>388</v>
      </c>
      <c r="B138" s="45">
        <v>45559</v>
      </c>
      <c r="C138" s="38" t="s">
        <v>389</v>
      </c>
      <c r="D138" s="38" t="s">
        <v>48</v>
      </c>
      <c r="E138" s="38" t="s">
        <v>40</v>
      </c>
      <c r="F138" s="38" t="s">
        <v>92</v>
      </c>
      <c r="G138" s="38" t="s">
        <v>77</v>
      </c>
      <c r="H138" s="38" t="s">
        <v>71</v>
      </c>
      <c r="I138" s="46">
        <v>19</v>
      </c>
      <c r="J138" s="47">
        <v>450000</v>
      </c>
      <c r="K138" s="47">
        <f t="shared" si="11"/>
        <v>450000</v>
      </c>
      <c r="L138" s="47">
        <f t="shared" si="12"/>
        <v>8550000</v>
      </c>
      <c r="M138" s="38">
        <v>0</v>
      </c>
      <c r="N138" s="47">
        <f t="shared" si="13"/>
        <v>0</v>
      </c>
      <c r="O138" s="47">
        <f t="shared" si="14"/>
        <v>8550000</v>
      </c>
      <c r="P138" s="38" t="s">
        <v>51</v>
      </c>
      <c r="Q138" s="43" t="s">
        <v>92</v>
      </c>
      <c r="R138" s="27" t="s">
        <v>77</v>
      </c>
      <c r="S138" s="27" t="s">
        <v>71</v>
      </c>
    </row>
    <row r="139" spans="1:19" x14ac:dyDescent="0.3">
      <c r="A139" s="48" t="s">
        <v>390</v>
      </c>
      <c r="B139" s="49">
        <v>45333</v>
      </c>
      <c r="C139" s="39" t="s">
        <v>391</v>
      </c>
      <c r="D139" s="39" t="s">
        <v>39</v>
      </c>
      <c r="E139" s="39" t="s">
        <v>49</v>
      </c>
      <c r="F139" s="39" t="s">
        <v>61</v>
      </c>
      <c r="G139" s="39" t="s">
        <v>42</v>
      </c>
      <c r="H139" s="39" t="s">
        <v>43</v>
      </c>
      <c r="I139" s="50">
        <v>4</v>
      </c>
      <c r="J139" s="51">
        <v>22000</v>
      </c>
      <c r="K139" s="51">
        <f t="shared" si="11"/>
        <v>22000</v>
      </c>
      <c r="L139" s="51">
        <f t="shared" si="12"/>
        <v>88000</v>
      </c>
      <c r="M139" s="39">
        <v>5</v>
      </c>
      <c r="N139" s="51">
        <f t="shared" si="13"/>
        <v>4400</v>
      </c>
      <c r="O139" s="51">
        <f t="shared" si="14"/>
        <v>83600</v>
      </c>
      <c r="P139" s="39" t="s">
        <v>131</v>
      </c>
      <c r="Q139" s="52" t="s">
        <v>61</v>
      </c>
      <c r="R139" s="27" t="s">
        <v>42</v>
      </c>
      <c r="S139" s="27" t="s">
        <v>43</v>
      </c>
    </row>
    <row r="140" spans="1:19" x14ac:dyDescent="0.3">
      <c r="A140" s="44" t="s">
        <v>392</v>
      </c>
      <c r="B140" s="45">
        <v>45390</v>
      </c>
      <c r="C140" s="38" t="s">
        <v>393</v>
      </c>
      <c r="D140" s="38" t="s">
        <v>81</v>
      </c>
      <c r="E140" s="38" t="s">
        <v>56</v>
      </c>
      <c r="F140" s="38" t="s">
        <v>92</v>
      </c>
      <c r="G140" s="38" t="s">
        <v>77</v>
      </c>
      <c r="H140" s="38" t="s">
        <v>66</v>
      </c>
      <c r="I140" s="46">
        <v>18</v>
      </c>
      <c r="J140" s="47">
        <v>450000</v>
      </c>
      <c r="K140" s="47">
        <f t="shared" si="11"/>
        <v>450000</v>
      </c>
      <c r="L140" s="47">
        <f t="shared" si="12"/>
        <v>8100000</v>
      </c>
      <c r="M140" s="38">
        <v>5</v>
      </c>
      <c r="N140" s="47">
        <f t="shared" si="13"/>
        <v>405000</v>
      </c>
      <c r="O140" s="47">
        <f t="shared" si="14"/>
        <v>7695000</v>
      </c>
      <c r="P140" s="38" t="s">
        <v>51</v>
      </c>
      <c r="Q140" s="43" t="s">
        <v>92</v>
      </c>
      <c r="R140" s="27" t="s">
        <v>77</v>
      </c>
      <c r="S140" s="27" t="s">
        <v>66</v>
      </c>
    </row>
    <row r="141" spans="1:19" x14ac:dyDescent="0.3">
      <c r="A141" s="48" t="s">
        <v>394</v>
      </c>
      <c r="B141" s="49">
        <v>45426</v>
      </c>
      <c r="C141" s="39" t="s">
        <v>395</v>
      </c>
      <c r="D141" s="39" t="s">
        <v>154</v>
      </c>
      <c r="E141" s="39" t="s">
        <v>70</v>
      </c>
      <c r="F141" s="39" t="s">
        <v>82</v>
      </c>
      <c r="G141" s="39" t="s">
        <v>77</v>
      </c>
      <c r="H141" s="39" t="s">
        <v>66</v>
      </c>
      <c r="I141" s="50">
        <v>13</v>
      </c>
      <c r="J141" s="51">
        <v>220000</v>
      </c>
      <c r="K141" s="51">
        <f t="shared" si="11"/>
        <v>220000</v>
      </c>
      <c r="L141" s="51">
        <f t="shared" si="12"/>
        <v>2860000</v>
      </c>
      <c r="M141" s="39">
        <v>10</v>
      </c>
      <c r="N141" s="51">
        <f t="shared" si="13"/>
        <v>286000</v>
      </c>
      <c r="O141" s="51">
        <f t="shared" si="14"/>
        <v>2574000</v>
      </c>
      <c r="P141" s="39" t="s">
        <v>51</v>
      </c>
      <c r="Q141" s="52" t="s">
        <v>82</v>
      </c>
      <c r="R141" s="27" t="s">
        <v>77</v>
      </c>
      <c r="S141" s="27" t="s">
        <v>66</v>
      </c>
    </row>
    <row r="142" spans="1:19" x14ac:dyDescent="0.3">
      <c r="A142" s="44" t="s">
        <v>396</v>
      </c>
      <c r="B142" s="45">
        <v>45654</v>
      </c>
      <c r="C142" s="38" t="s">
        <v>397</v>
      </c>
      <c r="D142" s="38" t="s">
        <v>65</v>
      </c>
      <c r="E142" s="38" t="s">
        <v>70</v>
      </c>
      <c r="F142" s="38" t="s">
        <v>57</v>
      </c>
      <c r="G142" s="38" t="s">
        <v>42</v>
      </c>
      <c r="H142" s="38" t="s">
        <v>71</v>
      </c>
      <c r="I142" s="46">
        <v>15</v>
      </c>
      <c r="J142" s="47">
        <v>28000</v>
      </c>
      <c r="K142" s="47">
        <f t="shared" si="11"/>
        <v>28000</v>
      </c>
      <c r="L142" s="47">
        <f t="shared" si="12"/>
        <v>420000</v>
      </c>
      <c r="M142" s="38">
        <v>0</v>
      </c>
      <c r="N142" s="47">
        <f t="shared" si="13"/>
        <v>0</v>
      </c>
      <c r="O142" s="47">
        <f t="shared" si="14"/>
        <v>420000</v>
      </c>
      <c r="P142" s="38" t="s">
        <v>86</v>
      </c>
      <c r="Q142" s="43" t="s">
        <v>57</v>
      </c>
      <c r="R142" s="27" t="s">
        <v>42</v>
      </c>
      <c r="S142" s="27" t="s">
        <v>71</v>
      </c>
    </row>
    <row r="143" spans="1:19" x14ac:dyDescent="0.3">
      <c r="A143" s="48" t="s">
        <v>398</v>
      </c>
      <c r="B143" s="49">
        <v>45646</v>
      </c>
      <c r="C143" s="39" t="s">
        <v>399</v>
      </c>
      <c r="D143" s="39" t="s">
        <v>118</v>
      </c>
      <c r="E143" s="39" t="s">
        <v>40</v>
      </c>
      <c r="F143" s="39" t="s">
        <v>57</v>
      </c>
      <c r="G143" s="39" t="s">
        <v>42</v>
      </c>
      <c r="H143" s="39" t="s">
        <v>43</v>
      </c>
      <c r="I143" s="50">
        <v>1</v>
      </c>
      <c r="J143" s="51">
        <v>28000</v>
      </c>
      <c r="K143" s="51">
        <f t="shared" si="11"/>
        <v>28000</v>
      </c>
      <c r="L143" s="51">
        <f t="shared" si="12"/>
        <v>28000</v>
      </c>
      <c r="M143" s="39">
        <v>20</v>
      </c>
      <c r="N143" s="51">
        <f t="shared" si="13"/>
        <v>5600</v>
      </c>
      <c r="O143" s="51">
        <f t="shared" si="14"/>
        <v>22400</v>
      </c>
      <c r="P143" s="39" t="s">
        <v>51</v>
      </c>
      <c r="Q143" s="52" t="s">
        <v>57</v>
      </c>
      <c r="R143" s="27" t="s">
        <v>42</v>
      </c>
      <c r="S143" s="27" t="s">
        <v>43</v>
      </c>
    </row>
    <row r="144" spans="1:19" x14ac:dyDescent="0.3">
      <c r="A144" s="44" t="s">
        <v>400</v>
      </c>
      <c r="B144" s="45">
        <v>45512</v>
      </c>
      <c r="C144" s="38" t="s">
        <v>401</v>
      </c>
      <c r="D144" s="38" t="s">
        <v>141</v>
      </c>
      <c r="E144" s="38" t="s">
        <v>40</v>
      </c>
      <c r="F144" s="38" t="s">
        <v>61</v>
      </c>
      <c r="G144" s="38" t="s">
        <v>42</v>
      </c>
      <c r="H144" s="38" t="s">
        <v>66</v>
      </c>
      <c r="I144" s="46">
        <v>4</v>
      </c>
      <c r="J144" s="47">
        <v>22000</v>
      </c>
      <c r="K144" s="47">
        <f t="shared" si="11"/>
        <v>22000</v>
      </c>
      <c r="L144" s="47">
        <f t="shared" si="12"/>
        <v>88000</v>
      </c>
      <c r="M144" s="38">
        <v>0</v>
      </c>
      <c r="N144" s="47">
        <f t="shared" si="13"/>
        <v>0</v>
      </c>
      <c r="O144" s="47">
        <f t="shared" si="14"/>
        <v>88000</v>
      </c>
      <c r="P144" s="38" t="s">
        <v>51</v>
      </c>
      <c r="Q144" s="43" t="s">
        <v>61</v>
      </c>
      <c r="R144" s="27" t="s">
        <v>42</v>
      </c>
      <c r="S144" s="27" t="s">
        <v>66</v>
      </c>
    </row>
    <row r="145" spans="1:19" x14ac:dyDescent="0.3">
      <c r="A145" s="48" t="s">
        <v>402</v>
      </c>
      <c r="B145" s="49">
        <v>45484</v>
      </c>
      <c r="C145" s="39" t="s">
        <v>403</v>
      </c>
      <c r="D145" s="39" t="s">
        <v>154</v>
      </c>
      <c r="E145" s="39" t="s">
        <v>70</v>
      </c>
      <c r="F145" s="39" t="s">
        <v>41</v>
      </c>
      <c r="G145" s="39" t="s">
        <v>42</v>
      </c>
      <c r="H145" s="39" t="s">
        <v>43</v>
      </c>
      <c r="I145" s="50">
        <v>16</v>
      </c>
      <c r="J145" s="51">
        <v>35000</v>
      </c>
      <c r="K145" s="51">
        <f t="shared" si="11"/>
        <v>35000</v>
      </c>
      <c r="L145" s="51">
        <f t="shared" si="12"/>
        <v>560000</v>
      </c>
      <c r="M145" s="39">
        <v>0</v>
      </c>
      <c r="N145" s="51">
        <f t="shared" si="13"/>
        <v>0</v>
      </c>
      <c r="O145" s="51">
        <f t="shared" si="14"/>
        <v>560000</v>
      </c>
      <c r="P145" s="39" t="s">
        <v>51</v>
      </c>
      <c r="Q145" s="52" t="s">
        <v>41</v>
      </c>
      <c r="R145" s="27" t="s">
        <v>42</v>
      </c>
      <c r="S145" s="27" t="s">
        <v>43</v>
      </c>
    </row>
    <row r="146" spans="1:19" x14ac:dyDescent="0.3">
      <c r="A146" s="44" t="s">
        <v>404</v>
      </c>
      <c r="B146" s="45">
        <v>45549</v>
      </c>
      <c r="C146" s="38" t="s">
        <v>405</v>
      </c>
      <c r="D146" s="38" t="s">
        <v>65</v>
      </c>
      <c r="E146" s="38" t="s">
        <v>40</v>
      </c>
      <c r="F146" s="38" t="s">
        <v>92</v>
      </c>
      <c r="G146" s="38" t="s">
        <v>77</v>
      </c>
      <c r="H146" s="38" t="s">
        <v>71</v>
      </c>
      <c r="I146" s="46">
        <v>12</v>
      </c>
      <c r="J146" s="47">
        <v>450000</v>
      </c>
      <c r="K146" s="47">
        <f t="shared" si="11"/>
        <v>450000</v>
      </c>
      <c r="L146" s="47">
        <f t="shared" si="12"/>
        <v>5400000</v>
      </c>
      <c r="M146" s="38">
        <v>20</v>
      </c>
      <c r="N146" s="47">
        <f t="shared" si="13"/>
        <v>1080000</v>
      </c>
      <c r="O146" s="47">
        <f t="shared" si="14"/>
        <v>4320000</v>
      </c>
      <c r="P146" s="38" t="s">
        <v>51</v>
      </c>
      <c r="Q146" s="43" t="s">
        <v>92</v>
      </c>
      <c r="R146" s="27" t="s">
        <v>77</v>
      </c>
      <c r="S146" s="27" t="s">
        <v>71</v>
      </c>
    </row>
    <row r="147" spans="1:19" x14ac:dyDescent="0.3">
      <c r="A147" s="48" t="s">
        <v>406</v>
      </c>
      <c r="B147" s="49">
        <v>45433</v>
      </c>
      <c r="C147" s="39" t="s">
        <v>407</v>
      </c>
      <c r="D147" s="39" t="s">
        <v>154</v>
      </c>
      <c r="E147" s="39" t="s">
        <v>49</v>
      </c>
      <c r="F147" s="39" t="s">
        <v>50</v>
      </c>
      <c r="G147" s="39" t="s">
        <v>42</v>
      </c>
      <c r="H147" s="39" t="s">
        <v>71</v>
      </c>
      <c r="I147" s="50">
        <v>2</v>
      </c>
      <c r="J147" s="51">
        <v>18000</v>
      </c>
      <c r="K147" s="51">
        <f t="shared" si="11"/>
        <v>18000</v>
      </c>
      <c r="L147" s="51">
        <f t="shared" si="12"/>
        <v>36000</v>
      </c>
      <c r="M147" s="39">
        <v>0</v>
      </c>
      <c r="N147" s="51">
        <f t="shared" si="13"/>
        <v>0</v>
      </c>
      <c r="O147" s="51">
        <f t="shared" si="14"/>
        <v>36000</v>
      </c>
      <c r="P147" s="39" t="s">
        <v>51</v>
      </c>
      <c r="Q147" s="52" t="s">
        <v>50</v>
      </c>
      <c r="R147" s="27" t="s">
        <v>42</v>
      </c>
      <c r="S147" s="27" t="s">
        <v>71</v>
      </c>
    </row>
    <row r="148" spans="1:19" x14ac:dyDescent="0.3">
      <c r="A148" s="44" t="s">
        <v>408</v>
      </c>
      <c r="B148" s="45">
        <v>45445</v>
      </c>
      <c r="C148" s="38" t="s">
        <v>409</v>
      </c>
      <c r="D148" s="38" t="s">
        <v>109</v>
      </c>
      <c r="E148" s="38" t="s">
        <v>40</v>
      </c>
      <c r="F148" s="38" t="s">
        <v>99</v>
      </c>
      <c r="G148" s="38" t="s">
        <v>77</v>
      </c>
      <c r="H148" s="38" t="s">
        <v>66</v>
      </c>
      <c r="I148" s="46">
        <v>17</v>
      </c>
      <c r="J148" s="47">
        <v>1</v>
      </c>
      <c r="K148" s="47">
        <v>95000</v>
      </c>
      <c r="L148" s="47">
        <f t="shared" si="12"/>
        <v>1615000</v>
      </c>
      <c r="M148" s="38">
        <v>15</v>
      </c>
      <c r="N148" s="47">
        <f t="shared" si="13"/>
        <v>242250</v>
      </c>
      <c r="O148" s="47">
        <f t="shared" si="14"/>
        <v>1372750</v>
      </c>
      <c r="P148" s="38" t="s">
        <v>51</v>
      </c>
      <c r="Q148" s="43" t="s">
        <v>99</v>
      </c>
      <c r="R148" s="27" t="s">
        <v>77</v>
      </c>
      <c r="S148" s="27" t="s">
        <v>66</v>
      </c>
    </row>
    <row r="149" spans="1:19" x14ac:dyDescent="0.3">
      <c r="A149" s="48" t="s">
        <v>410</v>
      </c>
      <c r="B149" s="49">
        <v>45516</v>
      </c>
      <c r="C149" s="39" t="s">
        <v>411</v>
      </c>
      <c r="D149" s="39" t="s">
        <v>109</v>
      </c>
      <c r="E149" s="39" t="s">
        <v>40</v>
      </c>
      <c r="F149" s="39" t="s">
        <v>92</v>
      </c>
      <c r="G149" s="39" t="s">
        <v>77</v>
      </c>
      <c r="H149" s="39" t="s">
        <v>43</v>
      </c>
      <c r="I149" s="50">
        <v>18</v>
      </c>
      <c r="J149" s="51">
        <v>450000</v>
      </c>
      <c r="K149" s="51">
        <f t="shared" ref="K149:K161" si="15">J149</f>
        <v>450000</v>
      </c>
      <c r="L149" s="51">
        <f t="shared" si="12"/>
        <v>8100000</v>
      </c>
      <c r="M149" s="39">
        <v>20</v>
      </c>
      <c r="N149" s="51">
        <f t="shared" si="13"/>
        <v>1620000</v>
      </c>
      <c r="O149" s="51">
        <f t="shared" si="14"/>
        <v>6480000</v>
      </c>
      <c r="P149" s="39" t="s">
        <v>51</v>
      </c>
      <c r="Q149" s="52" t="s">
        <v>92</v>
      </c>
      <c r="R149" s="27" t="s">
        <v>77</v>
      </c>
      <c r="S149" s="27" t="s">
        <v>43</v>
      </c>
    </row>
    <row r="150" spans="1:19" x14ac:dyDescent="0.3">
      <c r="A150" s="44" t="s">
        <v>412</v>
      </c>
      <c r="B150" s="45">
        <v>45558</v>
      </c>
      <c r="C150" s="38" t="s">
        <v>413</v>
      </c>
      <c r="D150" s="38" t="s">
        <v>39</v>
      </c>
      <c r="E150" s="38" t="s">
        <v>70</v>
      </c>
      <c r="F150" s="38" t="s">
        <v>61</v>
      </c>
      <c r="G150" s="38" t="s">
        <v>42</v>
      </c>
      <c r="H150" s="38" t="s">
        <v>66</v>
      </c>
      <c r="I150" s="46">
        <v>11</v>
      </c>
      <c r="J150" s="47">
        <v>22000</v>
      </c>
      <c r="K150" s="47">
        <f t="shared" si="15"/>
        <v>22000</v>
      </c>
      <c r="L150" s="47">
        <f t="shared" si="12"/>
        <v>242000</v>
      </c>
      <c r="M150" s="38">
        <v>10</v>
      </c>
      <c r="N150" s="47">
        <f t="shared" si="13"/>
        <v>24200</v>
      </c>
      <c r="O150" s="47">
        <f t="shared" si="14"/>
        <v>217800</v>
      </c>
      <c r="P150" s="38" t="s">
        <v>44</v>
      </c>
      <c r="Q150" s="43" t="s">
        <v>61</v>
      </c>
      <c r="R150" s="27" t="s">
        <v>42</v>
      </c>
      <c r="S150" s="27" t="s">
        <v>66</v>
      </c>
    </row>
    <row r="151" spans="1:19" x14ac:dyDescent="0.3">
      <c r="A151" s="48" t="s">
        <v>414</v>
      </c>
      <c r="B151" s="49">
        <v>45476</v>
      </c>
      <c r="C151" s="39" t="s">
        <v>415</v>
      </c>
      <c r="D151" s="39" t="s">
        <v>65</v>
      </c>
      <c r="E151" s="39" t="s">
        <v>40</v>
      </c>
      <c r="F151" s="39" t="s">
        <v>61</v>
      </c>
      <c r="G151" s="39" t="s">
        <v>42</v>
      </c>
      <c r="H151" s="39" t="s">
        <v>981</v>
      </c>
      <c r="I151" s="50">
        <v>4</v>
      </c>
      <c r="J151" s="51">
        <v>22000</v>
      </c>
      <c r="K151" s="51">
        <f t="shared" si="15"/>
        <v>22000</v>
      </c>
      <c r="L151" s="51">
        <f t="shared" si="12"/>
        <v>88000</v>
      </c>
      <c r="M151" s="39">
        <v>0</v>
      </c>
      <c r="N151" s="51">
        <f t="shared" si="13"/>
        <v>0</v>
      </c>
      <c r="O151" s="51">
        <f t="shared" si="14"/>
        <v>88000</v>
      </c>
      <c r="P151" s="39" t="s">
        <v>51</v>
      </c>
      <c r="Q151" s="52" t="s">
        <v>61</v>
      </c>
      <c r="R151" s="27" t="s">
        <v>42</v>
      </c>
      <c r="S151" s="27" t="s">
        <v>982</v>
      </c>
    </row>
    <row r="152" spans="1:19" x14ac:dyDescent="0.3">
      <c r="A152" s="44" t="s">
        <v>417</v>
      </c>
      <c r="B152" s="45">
        <v>45604</v>
      </c>
      <c r="C152" s="38" t="s">
        <v>418</v>
      </c>
      <c r="D152" s="38" t="s">
        <v>154</v>
      </c>
      <c r="E152" s="38" t="s">
        <v>40</v>
      </c>
      <c r="F152" s="38" t="s">
        <v>82</v>
      </c>
      <c r="G152" s="38" t="s">
        <v>77</v>
      </c>
      <c r="H152" s="38" t="s">
        <v>43</v>
      </c>
      <c r="I152" s="46">
        <v>12</v>
      </c>
      <c r="J152" s="47">
        <v>220000</v>
      </c>
      <c r="K152" s="47">
        <f t="shared" si="15"/>
        <v>220000</v>
      </c>
      <c r="L152" s="47">
        <f t="shared" si="12"/>
        <v>2640000</v>
      </c>
      <c r="M152" s="38">
        <v>0</v>
      </c>
      <c r="N152" s="47">
        <f t="shared" si="13"/>
        <v>0</v>
      </c>
      <c r="O152" s="47">
        <f t="shared" si="14"/>
        <v>2640000</v>
      </c>
      <c r="P152" s="38" t="s">
        <v>51</v>
      </c>
      <c r="Q152" s="43" t="s">
        <v>82</v>
      </c>
      <c r="R152" s="27" t="s">
        <v>77</v>
      </c>
      <c r="S152" s="27" t="s">
        <v>43</v>
      </c>
    </row>
    <row r="153" spans="1:19" x14ac:dyDescent="0.3">
      <c r="A153" s="48" t="s">
        <v>419</v>
      </c>
      <c r="B153" s="49">
        <v>45299</v>
      </c>
      <c r="C153" s="39" t="s">
        <v>420</v>
      </c>
      <c r="D153" s="39" t="s">
        <v>109</v>
      </c>
      <c r="E153" s="39" t="s">
        <v>49</v>
      </c>
      <c r="F153" s="39" t="s">
        <v>61</v>
      </c>
      <c r="G153" s="39" t="s">
        <v>42</v>
      </c>
      <c r="H153" s="39" t="s">
        <v>43</v>
      </c>
      <c r="I153" s="50">
        <v>10</v>
      </c>
      <c r="J153" s="51">
        <v>22000</v>
      </c>
      <c r="K153" s="51">
        <f t="shared" si="15"/>
        <v>22000</v>
      </c>
      <c r="L153" s="51">
        <f t="shared" si="12"/>
        <v>220000</v>
      </c>
      <c r="M153" s="39">
        <v>0</v>
      </c>
      <c r="N153" s="51">
        <f t="shared" si="13"/>
        <v>0</v>
      </c>
      <c r="O153" s="51">
        <f t="shared" si="14"/>
        <v>220000</v>
      </c>
      <c r="P153" s="39" t="s">
        <v>44</v>
      </c>
      <c r="Q153" s="52" t="s">
        <v>61</v>
      </c>
      <c r="R153" s="27" t="s">
        <v>42</v>
      </c>
      <c r="S153" s="27" t="s">
        <v>43</v>
      </c>
    </row>
    <row r="154" spans="1:19" x14ac:dyDescent="0.3">
      <c r="A154" s="44" t="s">
        <v>421</v>
      </c>
      <c r="B154" s="45">
        <v>45350</v>
      </c>
      <c r="C154" s="38" t="s">
        <v>422</v>
      </c>
      <c r="D154" s="38" t="s">
        <v>55</v>
      </c>
      <c r="E154" s="38" t="s">
        <v>49</v>
      </c>
      <c r="F154" s="38" t="s">
        <v>92</v>
      </c>
      <c r="G154" s="38" t="s">
        <v>77</v>
      </c>
      <c r="H154" s="38" t="s">
        <v>71</v>
      </c>
      <c r="I154" s="46">
        <v>2</v>
      </c>
      <c r="J154" s="47">
        <v>450000</v>
      </c>
      <c r="K154" s="47">
        <f t="shared" si="15"/>
        <v>450000</v>
      </c>
      <c r="L154" s="47">
        <f t="shared" si="12"/>
        <v>900000</v>
      </c>
      <c r="M154" s="38">
        <v>10</v>
      </c>
      <c r="N154" s="47">
        <f t="shared" si="13"/>
        <v>90000</v>
      </c>
      <c r="O154" s="47">
        <f t="shared" si="14"/>
        <v>810000</v>
      </c>
      <c r="P154" s="38" t="s">
        <v>51</v>
      </c>
      <c r="Q154" s="43" t="s">
        <v>92</v>
      </c>
      <c r="R154" s="27" t="s">
        <v>77</v>
      </c>
      <c r="S154" s="27" t="s">
        <v>71</v>
      </c>
    </row>
    <row r="155" spans="1:19" x14ac:dyDescent="0.3">
      <c r="A155" s="48" t="s">
        <v>423</v>
      </c>
      <c r="B155" s="49">
        <v>45586</v>
      </c>
      <c r="C155" s="39" t="s">
        <v>225</v>
      </c>
      <c r="D155" s="39" t="s">
        <v>154</v>
      </c>
      <c r="E155" s="39" t="s">
        <v>49</v>
      </c>
      <c r="F155" s="39" t="s">
        <v>92</v>
      </c>
      <c r="G155" s="39" t="s">
        <v>77</v>
      </c>
      <c r="H155" s="39" t="s">
        <v>71</v>
      </c>
      <c r="I155" s="50">
        <v>16</v>
      </c>
      <c r="J155" s="51">
        <v>450000</v>
      </c>
      <c r="K155" s="51">
        <f t="shared" si="15"/>
        <v>450000</v>
      </c>
      <c r="L155" s="51">
        <f t="shared" si="12"/>
        <v>7200000</v>
      </c>
      <c r="M155" s="39">
        <v>0</v>
      </c>
      <c r="N155" s="51">
        <f t="shared" si="13"/>
        <v>0</v>
      </c>
      <c r="O155" s="51">
        <f t="shared" si="14"/>
        <v>7200000</v>
      </c>
      <c r="P155" s="39" t="s">
        <v>51</v>
      </c>
      <c r="Q155" s="52" t="s">
        <v>92</v>
      </c>
      <c r="R155" s="27" t="s">
        <v>77</v>
      </c>
      <c r="S155" s="27" t="s">
        <v>71</v>
      </c>
    </row>
    <row r="156" spans="1:19" x14ac:dyDescent="0.3">
      <c r="A156" s="44" t="s">
        <v>424</v>
      </c>
      <c r="B156" s="45">
        <v>45550</v>
      </c>
      <c r="C156" s="38" t="s">
        <v>425</v>
      </c>
      <c r="D156" s="38" t="s">
        <v>118</v>
      </c>
      <c r="E156" s="38" t="s">
        <v>49</v>
      </c>
      <c r="F156" s="38" t="s">
        <v>76</v>
      </c>
      <c r="G156" s="38" t="s">
        <v>77</v>
      </c>
      <c r="H156" s="38" t="s">
        <v>43</v>
      </c>
      <c r="I156" s="46">
        <v>15</v>
      </c>
      <c r="J156" s="47">
        <v>180000</v>
      </c>
      <c r="K156" s="47">
        <f t="shared" si="15"/>
        <v>180000</v>
      </c>
      <c r="L156" s="47">
        <f t="shared" si="12"/>
        <v>2700000</v>
      </c>
      <c r="M156" s="38">
        <v>0</v>
      </c>
      <c r="N156" s="47">
        <f t="shared" si="13"/>
        <v>0</v>
      </c>
      <c r="O156" s="47">
        <f t="shared" si="14"/>
        <v>2700000</v>
      </c>
      <c r="P156" s="38" t="s">
        <v>51</v>
      </c>
      <c r="Q156" s="43" t="s">
        <v>76</v>
      </c>
      <c r="R156" s="27" t="s">
        <v>77</v>
      </c>
      <c r="S156" s="27" t="s">
        <v>43</v>
      </c>
    </row>
    <row r="157" spans="1:19" x14ac:dyDescent="0.3">
      <c r="A157" s="48" t="s">
        <v>426</v>
      </c>
      <c r="B157" s="49">
        <v>45370</v>
      </c>
      <c r="C157" s="39" t="s">
        <v>427</v>
      </c>
      <c r="D157" s="39" t="s">
        <v>48</v>
      </c>
      <c r="E157" s="39" t="s">
        <v>70</v>
      </c>
      <c r="F157" s="39" t="s">
        <v>76</v>
      </c>
      <c r="G157" s="39" t="s">
        <v>77</v>
      </c>
      <c r="H157" s="39" t="s">
        <v>66</v>
      </c>
      <c r="I157" s="50">
        <v>14</v>
      </c>
      <c r="J157" s="51">
        <v>180000</v>
      </c>
      <c r="K157" s="51">
        <f t="shared" si="15"/>
        <v>180000</v>
      </c>
      <c r="L157" s="51">
        <f t="shared" si="12"/>
        <v>2520000</v>
      </c>
      <c r="M157" s="39">
        <v>10</v>
      </c>
      <c r="N157" s="51">
        <f t="shared" si="13"/>
        <v>252000</v>
      </c>
      <c r="O157" s="51">
        <f t="shared" si="14"/>
        <v>2268000</v>
      </c>
      <c r="P157" s="39" t="s">
        <v>51</v>
      </c>
      <c r="Q157" s="52" t="s">
        <v>76</v>
      </c>
      <c r="R157" s="27" t="s">
        <v>77</v>
      </c>
      <c r="S157" s="27" t="s">
        <v>66</v>
      </c>
    </row>
    <row r="158" spans="1:19" x14ac:dyDescent="0.3">
      <c r="A158" s="44" t="s">
        <v>428</v>
      </c>
      <c r="B158" s="45">
        <v>45311</v>
      </c>
      <c r="C158" s="38" t="s">
        <v>429</v>
      </c>
      <c r="D158" s="38" t="s">
        <v>75</v>
      </c>
      <c r="E158" s="38" t="s">
        <v>56</v>
      </c>
      <c r="F158" s="38" t="s">
        <v>82</v>
      </c>
      <c r="G158" s="38" t="s">
        <v>77</v>
      </c>
      <c r="H158" s="38" t="s">
        <v>71</v>
      </c>
      <c r="I158" s="46">
        <v>19</v>
      </c>
      <c r="J158" s="47">
        <v>220000</v>
      </c>
      <c r="K158" s="47">
        <f t="shared" si="15"/>
        <v>220000</v>
      </c>
      <c r="L158" s="47">
        <f t="shared" si="12"/>
        <v>4180000</v>
      </c>
      <c r="M158" s="38">
        <v>10</v>
      </c>
      <c r="N158" s="47">
        <f t="shared" si="13"/>
        <v>418000</v>
      </c>
      <c r="O158" s="47">
        <f t="shared" si="14"/>
        <v>3762000</v>
      </c>
      <c r="P158" s="38" t="s">
        <v>44</v>
      </c>
      <c r="Q158" s="43" t="s">
        <v>82</v>
      </c>
      <c r="R158" s="27" t="s">
        <v>77</v>
      </c>
      <c r="S158" s="27" t="s">
        <v>71</v>
      </c>
    </row>
    <row r="159" spans="1:19" x14ac:dyDescent="0.3">
      <c r="A159" s="48" t="s">
        <v>430</v>
      </c>
      <c r="B159" s="49">
        <v>45369</v>
      </c>
      <c r="C159" s="39" t="s">
        <v>431</v>
      </c>
      <c r="D159" s="39" t="s">
        <v>39</v>
      </c>
      <c r="E159" s="39" t="s">
        <v>49</v>
      </c>
      <c r="F159" s="39" t="s">
        <v>50</v>
      </c>
      <c r="G159" s="39" t="s">
        <v>42</v>
      </c>
      <c r="H159" s="39" t="s">
        <v>71</v>
      </c>
      <c r="I159" s="50">
        <v>9</v>
      </c>
      <c r="J159" s="51">
        <v>18000</v>
      </c>
      <c r="K159" s="51">
        <f t="shared" si="15"/>
        <v>18000</v>
      </c>
      <c r="L159" s="51">
        <f t="shared" si="12"/>
        <v>162000</v>
      </c>
      <c r="M159" s="39">
        <v>0</v>
      </c>
      <c r="N159" s="51">
        <f t="shared" si="13"/>
        <v>0</v>
      </c>
      <c r="O159" s="51">
        <f t="shared" si="14"/>
        <v>162000</v>
      </c>
      <c r="P159" s="39" t="s">
        <v>51</v>
      </c>
      <c r="Q159" s="52" t="s">
        <v>50</v>
      </c>
      <c r="R159" s="27" t="s">
        <v>42</v>
      </c>
      <c r="S159" s="27" t="s">
        <v>71</v>
      </c>
    </row>
    <row r="160" spans="1:19" x14ac:dyDescent="0.3">
      <c r="A160" s="44" t="s">
        <v>432</v>
      </c>
      <c r="B160" s="45">
        <v>45336</v>
      </c>
      <c r="C160" s="38" t="s">
        <v>433</v>
      </c>
      <c r="D160" s="38" t="s">
        <v>39</v>
      </c>
      <c r="E160" s="38" t="s">
        <v>40</v>
      </c>
      <c r="F160" s="38" t="s">
        <v>50</v>
      </c>
      <c r="G160" s="38" t="s">
        <v>42</v>
      </c>
      <c r="H160" s="38" t="s">
        <v>130</v>
      </c>
      <c r="I160" s="46">
        <v>18</v>
      </c>
      <c r="J160" s="47">
        <v>18000</v>
      </c>
      <c r="K160" s="47">
        <f t="shared" si="15"/>
        <v>18000</v>
      </c>
      <c r="L160" s="47">
        <f t="shared" si="12"/>
        <v>324000</v>
      </c>
      <c r="M160" s="38">
        <v>0</v>
      </c>
      <c r="N160" s="47">
        <f t="shared" si="13"/>
        <v>0</v>
      </c>
      <c r="O160" s="47">
        <f t="shared" si="14"/>
        <v>324000</v>
      </c>
      <c r="P160" s="38" t="s">
        <v>131</v>
      </c>
      <c r="Q160" s="43" t="s">
        <v>50</v>
      </c>
      <c r="R160" s="27" t="s">
        <v>42</v>
      </c>
      <c r="S160" s="27" t="s">
        <v>130</v>
      </c>
    </row>
    <row r="161" spans="1:19" x14ac:dyDescent="0.3">
      <c r="A161" s="48" t="s">
        <v>435</v>
      </c>
      <c r="B161" s="49">
        <v>45423</v>
      </c>
      <c r="C161" s="39" t="s">
        <v>436</v>
      </c>
      <c r="D161" s="39" t="s">
        <v>75</v>
      </c>
      <c r="E161" s="39" t="s">
        <v>49</v>
      </c>
      <c r="F161" s="39" t="s">
        <v>99</v>
      </c>
      <c r="G161" s="39" t="s">
        <v>77</v>
      </c>
      <c r="H161" s="39" t="s">
        <v>43</v>
      </c>
      <c r="I161" s="50">
        <v>8</v>
      </c>
      <c r="J161" s="51">
        <v>95000</v>
      </c>
      <c r="K161" s="51">
        <f t="shared" si="15"/>
        <v>95000</v>
      </c>
      <c r="L161" s="51">
        <f t="shared" si="12"/>
        <v>760000</v>
      </c>
      <c r="M161" s="39">
        <v>5</v>
      </c>
      <c r="N161" s="51">
        <f t="shared" si="13"/>
        <v>38000</v>
      </c>
      <c r="O161" s="51">
        <f t="shared" si="14"/>
        <v>722000</v>
      </c>
      <c r="P161" s="39" t="s">
        <v>51</v>
      </c>
      <c r="Q161" s="52" t="s">
        <v>99</v>
      </c>
      <c r="R161" s="27" t="s">
        <v>77</v>
      </c>
      <c r="S161" s="27" t="s">
        <v>43</v>
      </c>
    </row>
    <row r="162" spans="1:19" x14ac:dyDescent="0.3">
      <c r="A162" s="44" t="s">
        <v>437</v>
      </c>
      <c r="B162" s="45">
        <v>45344</v>
      </c>
      <c r="C162" s="38" t="s">
        <v>438</v>
      </c>
      <c r="D162" s="38" t="s">
        <v>118</v>
      </c>
      <c r="E162" s="38" t="s">
        <v>40</v>
      </c>
      <c r="F162" s="38" t="s">
        <v>92</v>
      </c>
      <c r="G162" s="38" t="s">
        <v>77</v>
      </c>
      <c r="H162" s="38" t="s">
        <v>66</v>
      </c>
      <c r="I162" s="46">
        <v>12</v>
      </c>
      <c r="J162" s="47">
        <v>-5000</v>
      </c>
      <c r="K162" s="47">
        <v>450000</v>
      </c>
      <c r="L162" s="47">
        <f t="shared" si="12"/>
        <v>5400000</v>
      </c>
      <c r="M162" s="38">
        <v>5</v>
      </c>
      <c r="N162" s="47">
        <f t="shared" si="13"/>
        <v>270000</v>
      </c>
      <c r="O162" s="47">
        <f t="shared" si="14"/>
        <v>5130000</v>
      </c>
      <c r="P162" s="38" t="s">
        <v>44</v>
      </c>
      <c r="Q162" s="43" t="s">
        <v>92</v>
      </c>
      <c r="R162" s="27" t="s">
        <v>77</v>
      </c>
      <c r="S162" s="27" t="s">
        <v>66</v>
      </c>
    </row>
    <row r="163" spans="1:19" x14ac:dyDescent="0.3">
      <c r="A163" s="48" t="s">
        <v>439</v>
      </c>
      <c r="B163" s="49">
        <v>45544</v>
      </c>
      <c r="C163" s="39" t="s">
        <v>440</v>
      </c>
      <c r="D163" s="39" t="s">
        <v>141</v>
      </c>
      <c r="E163" s="39" t="s">
        <v>49</v>
      </c>
      <c r="F163" s="39" t="s">
        <v>82</v>
      </c>
      <c r="G163" s="39" t="s">
        <v>77</v>
      </c>
      <c r="H163" s="39" t="s">
        <v>66</v>
      </c>
      <c r="I163" s="50">
        <v>7</v>
      </c>
      <c r="J163" s="51">
        <v>220000</v>
      </c>
      <c r="K163" s="51">
        <f t="shared" ref="K163:K185" si="16">J163</f>
        <v>220000</v>
      </c>
      <c r="L163" s="51">
        <f t="shared" si="12"/>
        <v>1540000</v>
      </c>
      <c r="M163" s="39">
        <v>10</v>
      </c>
      <c r="N163" s="51">
        <f t="shared" si="13"/>
        <v>154000</v>
      </c>
      <c r="O163" s="51">
        <f t="shared" si="14"/>
        <v>1386000</v>
      </c>
      <c r="P163" s="39" t="s">
        <v>44</v>
      </c>
      <c r="Q163" s="52" t="s">
        <v>82</v>
      </c>
      <c r="R163" s="27" t="s">
        <v>77</v>
      </c>
      <c r="S163" s="27" t="s">
        <v>66</v>
      </c>
    </row>
    <row r="164" spans="1:19" x14ac:dyDescent="0.3">
      <c r="A164" s="44" t="s">
        <v>441</v>
      </c>
      <c r="B164" s="45">
        <v>45332</v>
      </c>
      <c r="C164" s="38" t="s">
        <v>442</v>
      </c>
      <c r="D164" s="38" t="s">
        <v>154</v>
      </c>
      <c r="E164" s="38" t="s">
        <v>195</v>
      </c>
      <c r="F164" s="38" t="s">
        <v>61</v>
      </c>
      <c r="G164" s="38" t="s">
        <v>42</v>
      </c>
      <c r="H164" s="38" t="s">
        <v>71</v>
      </c>
      <c r="I164" s="46">
        <v>1</v>
      </c>
      <c r="J164" s="47">
        <v>22000</v>
      </c>
      <c r="K164" s="47">
        <f t="shared" si="16"/>
        <v>22000</v>
      </c>
      <c r="L164" s="47">
        <f t="shared" si="12"/>
        <v>22000</v>
      </c>
      <c r="M164" s="38">
        <v>5</v>
      </c>
      <c r="N164" s="47">
        <f t="shared" si="13"/>
        <v>1100</v>
      </c>
      <c r="O164" s="47">
        <f t="shared" si="14"/>
        <v>20900</v>
      </c>
      <c r="P164" s="38" t="s">
        <v>86</v>
      </c>
      <c r="Q164" s="43" t="s">
        <v>61</v>
      </c>
      <c r="R164" s="27" t="s">
        <v>42</v>
      </c>
      <c r="S164" s="27" t="s">
        <v>137</v>
      </c>
    </row>
    <row r="165" spans="1:19" x14ac:dyDescent="0.3">
      <c r="A165" s="48" t="s">
        <v>443</v>
      </c>
      <c r="B165" s="49">
        <v>45393</v>
      </c>
      <c r="C165" s="39" t="s">
        <v>444</v>
      </c>
      <c r="D165" s="39" t="s">
        <v>118</v>
      </c>
      <c r="E165" s="39" t="s">
        <v>49</v>
      </c>
      <c r="F165" s="39" t="s">
        <v>57</v>
      </c>
      <c r="G165" s="39" t="s">
        <v>42</v>
      </c>
      <c r="H165" s="39" t="s">
        <v>66</v>
      </c>
      <c r="I165" s="50">
        <v>8</v>
      </c>
      <c r="J165" s="51">
        <v>28000</v>
      </c>
      <c r="K165" s="51">
        <f t="shared" si="16"/>
        <v>28000</v>
      </c>
      <c r="L165" s="51">
        <f t="shared" si="12"/>
        <v>224000</v>
      </c>
      <c r="M165" s="39">
        <v>0</v>
      </c>
      <c r="N165" s="51">
        <f t="shared" si="13"/>
        <v>0</v>
      </c>
      <c r="O165" s="51">
        <f t="shared" si="14"/>
        <v>224000</v>
      </c>
      <c r="P165" s="39" t="s">
        <v>51</v>
      </c>
      <c r="Q165" s="52" t="s">
        <v>57</v>
      </c>
      <c r="R165" s="27" t="s">
        <v>42</v>
      </c>
      <c r="S165" s="27" t="s">
        <v>66</v>
      </c>
    </row>
    <row r="166" spans="1:19" x14ac:dyDescent="0.3">
      <c r="A166" s="44" t="s">
        <v>445</v>
      </c>
      <c r="B166" s="45">
        <v>45520</v>
      </c>
      <c r="C166" s="38" t="s">
        <v>446</v>
      </c>
      <c r="D166" s="38" t="s">
        <v>65</v>
      </c>
      <c r="E166" s="39" t="s">
        <v>40</v>
      </c>
      <c r="F166" s="38" t="s">
        <v>82</v>
      </c>
      <c r="G166" s="38" t="s">
        <v>77</v>
      </c>
      <c r="H166" s="38" t="s">
        <v>66</v>
      </c>
      <c r="I166" s="46">
        <v>14</v>
      </c>
      <c r="J166" s="47">
        <v>220000</v>
      </c>
      <c r="K166" s="47">
        <f t="shared" si="16"/>
        <v>220000</v>
      </c>
      <c r="L166" s="47">
        <f t="shared" si="12"/>
        <v>3080000</v>
      </c>
      <c r="M166" s="38">
        <v>15</v>
      </c>
      <c r="N166" s="47">
        <f t="shared" si="13"/>
        <v>462000</v>
      </c>
      <c r="O166" s="47">
        <f t="shared" si="14"/>
        <v>2618000</v>
      </c>
      <c r="P166" s="38" t="s">
        <v>51</v>
      </c>
      <c r="Q166" s="43" t="s">
        <v>82</v>
      </c>
      <c r="R166" s="27" t="s">
        <v>77</v>
      </c>
      <c r="S166" s="27" t="s">
        <v>66</v>
      </c>
    </row>
    <row r="167" spans="1:19" x14ac:dyDescent="0.3">
      <c r="A167" s="48" t="s">
        <v>447</v>
      </c>
      <c r="B167" s="49">
        <v>45403</v>
      </c>
      <c r="C167" s="39" t="s">
        <v>448</v>
      </c>
      <c r="D167" s="39" t="s">
        <v>39</v>
      </c>
      <c r="E167" s="39" t="s">
        <v>49</v>
      </c>
      <c r="F167" s="39" t="s">
        <v>82</v>
      </c>
      <c r="G167" s="39" t="s">
        <v>77</v>
      </c>
      <c r="H167" s="39" t="s">
        <v>43</v>
      </c>
      <c r="I167" s="50">
        <v>1</v>
      </c>
      <c r="J167" s="51">
        <v>220000</v>
      </c>
      <c r="K167" s="51">
        <f t="shared" si="16"/>
        <v>220000</v>
      </c>
      <c r="L167" s="51">
        <f t="shared" si="12"/>
        <v>220000</v>
      </c>
      <c r="M167" s="39">
        <v>0</v>
      </c>
      <c r="N167" s="51">
        <f t="shared" si="13"/>
        <v>0</v>
      </c>
      <c r="O167" s="51">
        <f t="shared" si="14"/>
        <v>220000</v>
      </c>
      <c r="P167" s="38" t="s">
        <v>51</v>
      </c>
      <c r="Q167" s="52" t="s">
        <v>82</v>
      </c>
      <c r="R167" s="27" t="s">
        <v>77</v>
      </c>
      <c r="S167" s="27" t="s">
        <v>43</v>
      </c>
    </row>
    <row r="168" spans="1:19" x14ac:dyDescent="0.3">
      <c r="A168" s="44" t="s">
        <v>449</v>
      </c>
      <c r="B168" s="45">
        <v>45357</v>
      </c>
      <c r="C168" s="38" t="s">
        <v>450</v>
      </c>
      <c r="D168" s="38" t="s">
        <v>55</v>
      </c>
      <c r="E168" s="38" t="s">
        <v>40</v>
      </c>
      <c r="F168" s="38" t="s">
        <v>82</v>
      </c>
      <c r="G168" s="38" t="s">
        <v>77</v>
      </c>
      <c r="H168" s="38" t="s">
        <v>66</v>
      </c>
      <c r="I168" s="46">
        <v>19</v>
      </c>
      <c r="J168" s="47">
        <v>220000</v>
      </c>
      <c r="K168" s="47">
        <f t="shared" si="16"/>
        <v>220000</v>
      </c>
      <c r="L168" s="47">
        <f t="shared" si="12"/>
        <v>4180000</v>
      </c>
      <c r="M168" s="38">
        <v>10</v>
      </c>
      <c r="N168" s="47">
        <f t="shared" si="13"/>
        <v>418000</v>
      </c>
      <c r="O168" s="47">
        <f t="shared" si="14"/>
        <v>3762000</v>
      </c>
      <c r="P168" s="38" t="s">
        <v>44</v>
      </c>
      <c r="Q168" s="43" t="s">
        <v>82</v>
      </c>
      <c r="R168" s="27" t="s">
        <v>77</v>
      </c>
      <c r="S168" s="27" t="s">
        <v>66</v>
      </c>
    </row>
    <row r="169" spans="1:19" x14ac:dyDescent="0.3">
      <c r="A169" s="48" t="s">
        <v>451</v>
      </c>
      <c r="B169" s="49">
        <v>45370</v>
      </c>
      <c r="C169" s="39" t="s">
        <v>452</v>
      </c>
      <c r="D169" s="39" t="s">
        <v>48</v>
      </c>
      <c r="E169" s="39" t="s">
        <v>49</v>
      </c>
      <c r="F169" s="39" t="s">
        <v>99</v>
      </c>
      <c r="G169" s="39" t="s">
        <v>77</v>
      </c>
      <c r="H169" s="39" t="s">
        <v>71</v>
      </c>
      <c r="I169" s="50">
        <v>19</v>
      </c>
      <c r="J169" s="51">
        <v>95000</v>
      </c>
      <c r="K169" s="51">
        <f t="shared" si="16"/>
        <v>95000</v>
      </c>
      <c r="L169" s="51">
        <f t="shared" si="12"/>
        <v>1805000</v>
      </c>
      <c r="M169" s="39">
        <v>10</v>
      </c>
      <c r="N169" s="51">
        <f t="shared" si="13"/>
        <v>180500</v>
      </c>
      <c r="O169" s="51">
        <f t="shared" si="14"/>
        <v>1624500</v>
      </c>
      <c r="P169" s="39" t="s">
        <v>86</v>
      </c>
      <c r="Q169" s="52" t="s">
        <v>99</v>
      </c>
      <c r="R169" s="27" t="s">
        <v>77</v>
      </c>
      <c r="S169" s="27" t="s">
        <v>71</v>
      </c>
    </row>
    <row r="170" spans="1:19" x14ac:dyDescent="0.3">
      <c r="A170" s="44" t="s">
        <v>453</v>
      </c>
      <c r="B170" s="45">
        <v>45573</v>
      </c>
      <c r="C170" s="38" t="s">
        <v>454</v>
      </c>
      <c r="D170" s="38" t="s">
        <v>118</v>
      </c>
      <c r="E170" s="38" t="s">
        <v>70</v>
      </c>
      <c r="F170" s="38" t="s">
        <v>57</v>
      </c>
      <c r="G170" s="38" t="s">
        <v>42</v>
      </c>
      <c r="H170" s="38" t="s">
        <v>43</v>
      </c>
      <c r="I170" s="46">
        <v>10</v>
      </c>
      <c r="J170" s="47">
        <v>28000</v>
      </c>
      <c r="K170" s="47">
        <f t="shared" si="16"/>
        <v>28000</v>
      </c>
      <c r="L170" s="47">
        <f t="shared" si="12"/>
        <v>280000</v>
      </c>
      <c r="M170" s="38">
        <v>0</v>
      </c>
      <c r="N170" s="47">
        <f t="shared" si="13"/>
        <v>0</v>
      </c>
      <c r="O170" s="47">
        <f t="shared" si="14"/>
        <v>280000</v>
      </c>
      <c r="P170" s="38" t="s">
        <v>51</v>
      </c>
      <c r="Q170" s="43" t="s">
        <v>57</v>
      </c>
      <c r="R170" s="27" t="s">
        <v>42</v>
      </c>
      <c r="S170" s="27" t="s">
        <v>43</v>
      </c>
    </row>
    <row r="171" spans="1:19" x14ac:dyDescent="0.3">
      <c r="A171" s="48" t="s">
        <v>455</v>
      </c>
      <c r="B171" s="49">
        <v>45304</v>
      </c>
      <c r="C171" s="39" t="s">
        <v>456</v>
      </c>
      <c r="D171" s="39" t="s">
        <v>39</v>
      </c>
      <c r="E171" s="39" t="s">
        <v>49</v>
      </c>
      <c r="F171" s="39" t="s">
        <v>82</v>
      </c>
      <c r="G171" s="39" t="s">
        <v>77</v>
      </c>
      <c r="H171" s="39" t="s">
        <v>71</v>
      </c>
      <c r="I171" s="50">
        <v>8</v>
      </c>
      <c r="J171" s="51">
        <v>220000</v>
      </c>
      <c r="K171" s="51">
        <f t="shared" si="16"/>
        <v>220000</v>
      </c>
      <c r="L171" s="51">
        <f t="shared" si="12"/>
        <v>1760000</v>
      </c>
      <c r="M171" s="39">
        <v>15</v>
      </c>
      <c r="N171" s="51">
        <f t="shared" si="13"/>
        <v>264000</v>
      </c>
      <c r="O171" s="51">
        <f t="shared" si="14"/>
        <v>1496000</v>
      </c>
      <c r="P171" s="39" t="s">
        <v>51</v>
      </c>
      <c r="Q171" s="52" t="s">
        <v>82</v>
      </c>
      <c r="R171" s="27" t="s">
        <v>77</v>
      </c>
      <c r="S171" s="27" t="s">
        <v>71</v>
      </c>
    </row>
    <row r="172" spans="1:19" x14ac:dyDescent="0.3">
      <c r="A172" s="44" t="s">
        <v>457</v>
      </c>
      <c r="B172" s="45">
        <v>45399</v>
      </c>
      <c r="C172" s="38" t="s">
        <v>458</v>
      </c>
      <c r="D172" s="38" t="s">
        <v>39</v>
      </c>
      <c r="E172" s="38" t="s">
        <v>56</v>
      </c>
      <c r="F172" s="38" t="s">
        <v>82</v>
      </c>
      <c r="G172" s="38" t="s">
        <v>77</v>
      </c>
      <c r="H172" s="38" t="s">
        <v>71</v>
      </c>
      <c r="I172" s="46">
        <v>3</v>
      </c>
      <c r="J172" s="47">
        <v>220000</v>
      </c>
      <c r="K172" s="47">
        <f t="shared" si="16"/>
        <v>220000</v>
      </c>
      <c r="L172" s="47">
        <f t="shared" si="12"/>
        <v>660000</v>
      </c>
      <c r="M172" s="38">
        <v>0</v>
      </c>
      <c r="N172" s="47">
        <f t="shared" si="13"/>
        <v>0</v>
      </c>
      <c r="O172" s="47">
        <f t="shared" si="14"/>
        <v>660000</v>
      </c>
      <c r="P172" s="38" t="s">
        <v>51</v>
      </c>
      <c r="Q172" s="43" t="s">
        <v>82</v>
      </c>
      <c r="R172" s="27" t="s">
        <v>77</v>
      </c>
      <c r="S172" s="27" t="s">
        <v>71</v>
      </c>
    </row>
    <row r="173" spans="1:19" x14ac:dyDescent="0.3">
      <c r="A173" s="48" t="s">
        <v>459</v>
      </c>
      <c r="B173" s="49">
        <v>45387</v>
      </c>
      <c r="C173" s="39" t="s">
        <v>460</v>
      </c>
      <c r="D173" s="39" t="s">
        <v>141</v>
      </c>
      <c r="E173" s="39" t="s">
        <v>40</v>
      </c>
      <c r="F173" s="39" t="s">
        <v>76</v>
      </c>
      <c r="G173" s="39" t="s">
        <v>77</v>
      </c>
      <c r="H173" s="39" t="s">
        <v>71</v>
      </c>
      <c r="I173" s="50">
        <v>6</v>
      </c>
      <c r="J173" s="51">
        <v>180000</v>
      </c>
      <c r="K173" s="51">
        <f t="shared" si="16"/>
        <v>180000</v>
      </c>
      <c r="L173" s="51">
        <f t="shared" si="12"/>
        <v>1080000</v>
      </c>
      <c r="M173" s="39">
        <v>0</v>
      </c>
      <c r="N173" s="51">
        <f t="shared" si="13"/>
        <v>0</v>
      </c>
      <c r="O173" s="51">
        <f t="shared" si="14"/>
        <v>1080000</v>
      </c>
      <c r="P173" s="39" t="s">
        <v>51</v>
      </c>
      <c r="Q173" s="52" t="s">
        <v>76</v>
      </c>
      <c r="R173" s="27" t="s">
        <v>77</v>
      </c>
      <c r="S173" s="27" t="s">
        <v>71</v>
      </c>
    </row>
    <row r="174" spans="1:19" x14ac:dyDescent="0.3">
      <c r="A174" s="44" t="s">
        <v>461</v>
      </c>
      <c r="B174" s="45">
        <v>45589</v>
      </c>
      <c r="C174" s="38" t="s">
        <v>462</v>
      </c>
      <c r="D174" s="38" t="s">
        <v>118</v>
      </c>
      <c r="E174" s="38" t="s">
        <v>40</v>
      </c>
      <c r="F174" s="38" t="s">
        <v>41</v>
      </c>
      <c r="G174" s="38" t="s">
        <v>42</v>
      </c>
      <c r="H174" s="38" t="s">
        <v>66</v>
      </c>
      <c r="I174" s="46">
        <v>5</v>
      </c>
      <c r="J174" s="47">
        <v>35000</v>
      </c>
      <c r="K174" s="47">
        <f t="shared" si="16"/>
        <v>35000</v>
      </c>
      <c r="L174" s="47">
        <f t="shared" si="12"/>
        <v>175000</v>
      </c>
      <c r="M174" s="38">
        <v>0</v>
      </c>
      <c r="N174" s="47">
        <f t="shared" si="13"/>
        <v>0</v>
      </c>
      <c r="O174" s="47">
        <f t="shared" si="14"/>
        <v>175000</v>
      </c>
      <c r="P174" s="38" t="s">
        <v>131</v>
      </c>
      <c r="Q174" s="43" t="s">
        <v>41</v>
      </c>
      <c r="R174" s="27" t="s">
        <v>42</v>
      </c>
      <c r="S174" s="27" t="s">
        <v>66</v>
      </c>
    </row>
    <row r="175" spans="1:19" x14ac:dyDescent="0.3">
      <c r="A175" s="48" t="s">
        <v>463</v>
      </c>
      <c r="B175" s="49">
        <v>45419</v>
      </c>
      <c r="C175" s="39" t="s">
        <v>464</v>
      </c>
      <c r="D175" s="39" t="s">
        <v>48</v>
      </c>
      <c r="E175" s="39" t="s">
        <v>70</v>
      </c>
      <c r="F175" s="39" t="s">
        <v>99</v>
      </c>
      <c r="G175" s="39" t="s">
        <v>77</v>
      </c>
      <c r="H175" s="39" t="s">
        <v>71</v>
      </c>
      <c r="I175" s="50">
        <v>15</v>
      </c>
      <c r="J175" s="51">
        <v>95000</v>
      </c>
      <c r="K175" s="51">
        <f t="shared" si="16"/>
        <v>95000</v>
      </c>
      <c r="L175" s="51">
        <f t="shared" si="12"/>
        <v>1425000</v>
      </c>
      <c r="M175" s="39">
        <v>0</v>
      </c>
      <c r="N175" s="51">
        <f t="shared" si="13"/>
        <v>0</v>
      </c>
      <c r="O175" s="51">
        <f t="shared" si="14"/>
        <v>1425000</v>
      </c>
      <c r="P175" s="39" t="s">
        <v>86</v>
      </c>
      <c r="Q175" s="52" t="s">
        <v>99</v>
      </c>
      <c r="R175" s="27" t="s">
        <v>77</v>
      </c>
      <c r="S175" s="27" t="s">
        <v>71</v>
      </c>
    </row>
    <row r="176" spans="1:19" x14ac:dyDescent="0.3">
      <c r="A176" s="44" t="s">
        <v>465</v>
      </c>
      <c r="B176" s="45">
        <v>45646</v>
      </c>
      <c r="C176" s="38" t="s">
        <v>466</v>
      </c>
      <c r="D176" s="38" t="s">
        <v>118</v>
      </c>
      <c r="E176" s="38" t="s">
        <v>49</v>
      </c>
      <c r="F176" s="38" t="s">
        <v>76</v>
      </c>
      <c r="G176" s="38" t="s">
        <v>77</v>
      </c>
      <c r="H176" s="38" t="s">
        <v>66</v>
      </c>
      <c r="I176" s="46">
        <v>14</v>
      </c>
      <c r="J176" s="47">
        <v>180000</v>
      </c>
      <c r="K176" s="47">
        <f t="shared" si="16"/>
        <v>180000</v>
      </c>
      <c r="L176" s="47">
        <f t="shared" si="12"/>
        <v>2520000</v>
      </c>
      <c r="M176" s="38">
        <v>5</v>
      </c>
      <c r="N176" s="47">
        <f t="shared" si="13"/>
        <v>126000</v>
      </c>
      <c r="O176" s="47">
        <f t="shared" si="14"/>
        <v>2394000</v>
      </c>
      <c r="P176" s="38" t="s">
        <v>51</v>
      </c>
      <c r="Q176" s="43" t="s">
        <v>76</v>
      </c>
      <c r="R176" s="27" t="s">
        <v>77</v>
      </c>
      <c r="S176" s="27" t="s">
        <v>66</v>
      </c>
    </row>
    <row r="177" spans="1:19" x14ac:dyDescent="0.3">
      <c r="A177" s="48" t="s">
        <v>467</v>
      </c>
      <c r="B177" s="49">
        <v>45354</v>
      </c>
      <c r="C177" s="39" t="s">
        <v>468</v>
      </c>
      <c r="D177" s="39" t="s">
        <v>109</v>
      </c>
      <c r="E177" s="39" t="s">
        <v>49</v>
      </c>
      <c r="F177" s="39" t="s">
        <v>41</v>
      </c>
      <c r="G177" s="39" t="s">
        <v>42</v>
      </c>
      <c r="H177" s="39" t="s">
        <v>238</v>
      </c>
      <c r="I177" s="50">
        <v>5</v>
      </c>
      <c r="J177" s="51">
        <v>35000</v>
      </c>
      <c r="K177" s="51">
        <f t="shared" si="16"/>
        <v>35000</v>
      </c>
      <c r="L177" s="51">
        <f t="shared" si="12"/>
        <v>175000</v>
      </c>
      <c r="M177" s="39">
        <v>0</v>
      </c>
      <c r="N177" s="51">
        <f t="shared" si="13"/>
        <v>0</v>
      </c>
      <c r="O177" s="51">
        <f t="shared" si="14"/>
        <v>175000</v>
      </c>
      <c r="P177" s="39" t="s">
        <v>44</v>
      </c>
      <c r="Q177" s="52" t="s">
        <v>41</v>
      </c>
      <c r="R177" s="27" t="s">
        <v>42</v>
      </c>
      <c r="S177" s="27" t="s">
        <v>238</v>
      </c>
    </row>
    <row r="178" spans="1:19" x14ac:dyDescent="0.3">
      <c r="A178" s="44" t="s">
        <v>470</v>
      </c>
      <c r="B178" s="45">
        <v>45551</v>
      </c>
      <c r="C178" s="38" t="s">
        <v>471</v>
      </c>
      <c r="D178" s="38" t="s">
        <v>81</v>
      </c>
      <c r="E178" s="38" t="s">
        <v>40</v>
      </c>
      <c r="F178" s="38" t="s">
        <v>92</v>
      </c>
      <c r="G178" s="38" t="s">
        <v>77</v>
      </c>
      <c r="H178" s="38" t="s">
        <v>66</v>
      </c>
      <c r="I178" s="46">
        <v>5</v>
      </c>
      <c r="J178" s="47">
        <v>450000</v>
      </c>
      <c r="K178" s="47">
        <f t="shared" si="16"/>
        <v>450000</v>
      </c>
      <c r="L178" s="47">
        <f t="shared" si="12"/>
        <v>2250000</v>
      </c>
      <c r="M178" s="38">
        <v>5</v>
      </c>
      <c r="N178" s="47">
        <f t="shared" si="13"/>
        <v>112500</v>
      </c>
      <c r="O178" s="47">
        <f t="shared" si="14"/>
        <v>2137500</v>
      </c>
      <c r="P178" s="38" t="s">
        <v>51</v>
      </c>
      <c r="Q178" s="43" t="s">
        <v>92</v>
      </c>
      <c r="R178" s="27" t="s">
        <v>77</v>
      </c>
      <c r="S178" s="27" t="s">
        <v>66</v>
      </c>
    </row>
    <row r="179" spans="1:19" x14ac:dyDescent="0.3">
      <c r="A179" s="48" t="s">
        <v>472</v>
      </c>
      <c r="B179" s="49">
        <v>45330</v>
      </c>
      <c r="C179" s="39" t="s">
        <v>473</v>
      </c>
      <c r="D179" s="39" t="s">
        <v>81</v>
      </c>
      <c r="E179" s="39" t="s">
        <v>49</v>
      </c>
      <c r="F179" s="39" t="s">
        <v>76</v>
      </c>
      <c r="G179" s="39" t="s">
        <v>77</v>
      </c>
      <c r="H179" s="39" t="s">
        <v>66</v>
      </c>
      <c r="I179" s="50">
        <v>5</v>
      </c>
      <c r="J179" s="51">
        <v>180000</v>
      </c>
      <c r="K179" s="51">
        <f t="shared" si="16"/>
        <v>180000</v>
      </c>
      <c r="L179" s="51">
        <f t="shared" si="12"/>
        <v>900000</v>
      </c>
      <c r="M179" s="39">
        <v>0</v>
      </c>
      <c r="N179" s="51">
        <f t="shared" si="13"/>
        <v>0</v>
      </c>
      <c r="O179" s="51">
        <f t="shared" si="14"/>
        <v>900000</v>
      </c>
      <c r="P179" s="39" t="s">
        <v>51</v>
      </c>
      <c r="Q179" s="52" t="s">
        <v>76</v>
      </c>
      <c r="R179" s="27" t="s">
        <v>77</v>
      </c>
      <c r="S179" s="27" t="s">
        <v>66</v>
      </c>
    </row>
    <row r="180" spans="1:19" x14ac:dyDescent="0.3">
      <c r="A180" s="44" t="s">
        <v>474</v>
      </c>
      <c r="B180" s="45">
        <v>45604</v>
      </c>
      <c r="C180" s="38" t="s">
        <v>279</v>
      </c>
      <c r="D180" s="38" t="s">
        <v>81</v>
      </c>
      <c r="E180" s="38" t="s">
        <v>40</v>
      </c>
      <c r="F180" s="38" t="s">
        <v>50</v>
      </c>
      <c r="G180" s="38" t="s">
        <v>42</v>
      </c>
      <c r="H180" s="38" t="s">
        <v>66</v>
      </c>
      <c r="I180" s="46">
        <v>17</v>
      </c>
      <c r="J180" s="47">
        <v>18000</v>
      </c>
      <c r="K180" s="47">
        <f t="shared" si="16"/>
        <v>18000</v>
      </c>
      <c r="L180" s="47">
        <f t="shared" si="12"/>
        <v>306000</v>
      </c>
      <c r="M180" s="38">
        <v>5</v>
      </c>
      <c r="N180" s="47">
        <f t="shared" si="13"/>
        <v>15300</v>
      </c>
      <c r="O180" s="47">
        <f t="shared" si="14"/>
        <v>290700</v>
      </c>
      <c r="P180" s="38" t="s">
        <v>131</v>
      </c>
      <c r="Q180" s="43" t="s">
        <v>50</v>
      </c>
      <c r="R180" s="27" t="s">
        <v>42</v>
      </c>
      <c r="S180" s="27" t="s">
        <v>66</v>
      </c>
    </row>
    <row r="181" spans="1:19" x14ac:dyDescent="0.3">
      <c r="A181" s="48" t="s">
        <v>475</v>
      </c>
      <c r="B181" s="49">
        <v>45330</v>
      </c>
      <c r="C181" s="39" t="s">
        <v>476</v>
      </c>
      <c r="D181" s="39" t="s">
        <v>55</v>
      </c>
      <c r="E181" s="39" t="s">
        <v>70</v>
      </c>
      <c r="F181" s="39" t="s">
        <v>76</v>
      </c>
      <c r="G181" s="39" t="s">
        <v>77</v>
      </c>
      <c r="H181" s="39" t="s">
        <v>66</v>
      </c>
      <c r="I181" s="50">
        <v>2</v>
      </c>
      <c r="J181" s="51">
        <v>180000</v>
      </c>
      <c r="K181" s="51">
        <f t="shared" si="16"/>
        <v>180000</v>
      </c>
      <c r="L181" s="51">
        <f t="shared" si="12"/>
        <v>360000</v>
      </c>
      <c r="M181" s="39">
        <v>0</v>
      </c>
      <c r="N181" s="51">
        <f t="shared" si="13"/>
        <v>0</v>
      </c>
      <c r="O181" s="51">
        <f t="shared" si="14"/>
        <v>360000</v>
      </c>
      <c r="P181" s="39" t="s">
        <v>51</v>
      </c>
      <c r="Q181" s="52" t="s">
        <v>76</v>
      </c>
      <c r="R181" s="27" t="s">
        <v>77</v>
      </c>
      <c r="S181" s="27" t="s">
        <v>66</v>
      </c>
    </row>
    <row r="182" spans="1:19" x14ac:dyDescent="0.3">
      <c r="A182" s="44" t="s">
        <v>477</v>
      </c>
      <c r="B182" s="45">
        <v>45300</v>
      </c>
      <c r="C182" s="38" t="s">
        <v>350</v>
      </c>
      <c r="D182" s="38" t="s">
        <v>141</v>
      </c>
      <c r="E182" s="38" t="s">
        <v>70</v>
      </c>
      <c r="F182" s="38" t="s">
        <v>92</v>
      </c>
      <c r="G182" s="38" t="s">
        <v>77</v>
      </c>
      <c r="H182" s="38" t="s">
        <v>71</v>
      </c>
      <c r="I182" s="46">
        <v>15</v>
      </c>
      <c r="J182" s="47">
        <v>450000</v>
      </c>
      <c r="K182" s="47">
        <f t="shared" si="16"/>
        <v>450000</v>
      </c>
      <c r="L182" s="47">
        <f t="shared" si="12"/>
        <v>6750000</v>
      </c>
      <c r="M182" s="38">
        <v>0</v>
      </c>
      <c r="N182" s="47">
        <f t="shared" si="13"/>
        <v>0</v>
      </c>
      <c r="O182" s="47">
        <f t="shared" si="14"/>
        <v>6750000</v>
      </c>
      <c r="P182" s="38" t="s">
        <v>51</v>
      </c>
      <c r="Q182" s="43" t="s">
        <v>92</v>
      </c>
      <c r="R182" s="27" t="s">
        <v>77</v>
      </c>
      <c r="S182" s="27" t="s">
        <v>71</v>
      </c>
    </row>
    <row r="183" spans="1:19" x14ac:dyDescent="0.3">
      <c r="A183" s="48" t="s">
        <v>478</v>
      </c>
      <c r="B183" s="49">
        <v>45587</v>
      </c>
      <c r="C183" s="39" t="s">
        <v>479</v>
      </c>
      <c r="D183" s="39" t="s">
        <v>141</v>
      </c>
      <c r="E183" s="39" t="s">
        <v>56</v>
      </c>
      <c r="F183" s="39" t="s">
        <v>92</v>
      </c>
      <c r="G183" s="39" t="s">
        <v>77</v>
      </c>
      <c r="H183" s="39" t="s">
        <v>66</v>
      </c>
      <c r="I183" s="50">
        <v>18</v>
      </c>
      <c r="J183" s="51">
        <v>450000</v>
      </c>
      <c r="K183" s="51">
        <f t="shared" si="16"/>
        <v>450000</v>
      </c>
      <c r="L183" s="51">
        <f t="shared" si="12"/>
        <v>8100000</v>
      </c>
      <c r="M183" s="39">
        <v>0</v>
      </c>
      <c r="N183" s="51">
        <f t="shared" si="13"/>
        <v>0</v>
      </c>
      <c r="O183" s="51">
        <f t="shared" si="14"/>
        <v>8100000</v>
      </c>
      <c r="P183" s="39" t="s">
        <v>51</v>
      </c>
      <c r="Q183" s="52" t="s">
        <v>92</v>
      </c>
      <c r="R183" s="27" t="s">
        <v>77</v>
      </c>
      <c r="S183" s="27" t="s">
        <v>66</v>
      </c>
    </row>
    <row r="184" spans="1:19" x14ac:dyDescent="0.3">
      <c r="A184" s="44" t="s">
        <v>480</v>
      </c>
      <c r="B184" s="45">
        <v>45453</v>
      </c>
      <c r="C184" s="38" t="s">
        <v>481</v>
      </c>
      <c r="D184" s="38" t="s">
        <v>55</v>
      </c>
      <c r="E184" s="38" t="s">
        <v>70</v>
      </c>
      <c r="F184" s="38" t="s">
        <v>41</v>
      </c>
      <c r="G184" s="38" t="s">
        <v>42</v>
      </c>
      <c r="H184" s="38" t="s">
        <v>71</v>
      </c>
      <c r="I184" s="46">
        <v>8</v>
      </c>
      <c r="J184" s="47">
        <v>35000</v>
      </c>
      <c r="K184" s="47">
        <f t="shared" si="16"/>
        <v>35000</v>
      </c>
      <c r="L184" s="47">
        <f t="shared" si="12"/>
        <v>280000</v>
      </c>
      <c r="M184" s="38">
        <v>15</v>
      </c>
      <c r="N184" s="47">
        <f t="shared" si="13"/>
        <v>42000</v>
      </c>
      <c r="O184" s="47">
        <f t="shared" si="14"/>
        <v>238000</v>
      </c>
      <c r="P184" s="38" t="s">
        <v>44</v>
      </c>
      <c r="Q184" s="43" t="s">
        <v>41</v>
      </c>
      <c r="R184" s="27" t="s">
        <v>42</v>
      </c>
      <c r="S184" s="27" t="s">
        <v>71</v>
      </c>
    </row>
    <row r="185" spans="1:19" x14ac:dyDescent="0.3">
      <c r="A185" s="48" t="s">
        <v>482</v>
      </c>
      <c r="B185" s="49">
        <v>45563</v>
      </c>
      <c r="C185" s="39" t="s">
        <v>483</v>
      </c>
      <c r="D185" s="39" t="s">
        <v>55</v>
      </c>
      <c r="E185" s="39" t="s">
        <v>49</v>
      </c>
      <c r="F185" s="39" t="s">
        <v>99</v>
      </c>
      <c r="G185" s="39" t="s">
        <v>77</v>
      </c>
      <c r="H185" s="39" t="s">
        <v>66</v>
      </c>
      <c r="I185" s="50">
        <v>4</v>
      </c>
      <c r="J185" s="51">
        <v>95000</v>
      </c>
      <c r="K185" s="51">
        <f t="shared" si="16"/>
        <v>95000</v>
      </c>
      <c r="L185" s="51">
        <f t="shared" si="12"/>
        <v>380000</v>
      </c>
      <c r="M185" s="39">
        <v>20</v>
      </c>
      <c r="N185" s="51">
        <f t="shared" si="13"/>
        <v>76000</v>
      </c>
      <c r="O185" s="51">
        <f t="shared" si="14"/>
        <v>304000</v>
      </c>
      <c r="P185" s="39" t="s">
        <v>51</v>
      </c>
      <c r="Q185" s="52" t="s">
        <v>99</v>
      </c>
      <c r="R185" s="27" t="s">
        <v>77</v>
      </c>
      <c r="S185" s="27" t="s">
        <v>66</v>
      </c>
    </row>
    <row r="186" spans="1:19" x14ac:dyDescent="0.3">
      <c r="A186" s="44" t="s">
        <v>484</v>
      </c>
      <c r="B186" s="45">
        <v>45628</v>
      </c>
      <c r="C186" s="38" t="s">
        <v>485</v>
      </c>
      <c r="D186" s="38" t="s">
        <v>118</v>
      </c>
      <c r="E186" s="38" t="s">
        <v>40</v>
      </c>
      <c r="F186" s="38" t="s">
        <v>61</v>
      </c>
      <c r="G186" s="38" t="s">
        <v>42</v>
      </c>
      <c r="H186" s="38" t="s">
        <v>43</v>
      </c>
      <c r="I186" s="46">
        <v>13</v>
      </c>
      <c r="J186" s="47">
        <v>999999999</v>
      </c>
      <c r="K186" s="47">
        <v>22000</v>
      </c>
      <c r="L186" s="47">
        <f t="shared" si="12"/>
        <v>286000</v>
      </c>
      <c r="M186" s="38">
        <v>20</v>
      </c>
      <c r="N186" s="47">
        <f t="shared" si="13"/>
        <v>57200</v>
      </c>
      <c r="O186" s="47">
        <f t="shared" si="14"/>
        <v>228800</v>
      </c>
      <c r="P186" s="38" t="s">
        <v>239</v>
      </c>
      <c r="Q186" s="43" t="s">
        <v>61</v>
      </c>
      <c r="R186" s="27" t="s">
        <v>42</v>
      </c>
      <c r="S186" s="27" t="s">
        <v>43</v>
      </c>
    </row>
    <row r="187" spans="1:19" x14ac:dyDescent="0.3">
      <c r="A187" s="48" t="s">
        <v>486</v>
      </c>
      <c r="B187" s="49">
        <v>45409</v>
      </c>
      <c r="C187" s="39" t="s">
        <v>487</v>
      </c>
      <c r="D187" s="39" t="s">
        <v>75</v>
      </c>
      <c r="E187" s="39" t="s">
        <v>40</v>
      </c>
      <c r="F187" s="39" t="s">
        <v>61</v>
      </c>
      <c r="G187" s="39" t="s">
        <v>42</v>
      </c>
      <c r="H187" s="39" t="s">
        <v>71</v>
      </c>
      <c r="I187" s="50">
        <v>17</v>
      </c>
      <c r="J187" s="51">
        <v>22000</v>
      </c>
      <c r="K187" s="51">
        <f t="shared" ref="K187:K218" si="17">J187</f>
        <v>22000</v>
      </c>
      <c r="L187" s="51">
        <f t="shared" si="12"/>
        <v>374000</v>
      </c>
      <c r="M187" s="39">
        <v>0</v>
      </c>
      <c r="N187" s="51">
        <f t="shared" si="13"/>
        <v>0</v>
      </c>
      <c r="O187" s="51">
        <f t="shared" si="14"/>
        <v>374000</v>
      </c>
      <c r="P187" s="39" t="s">
        <v>51</v>
      </c>
      <c r="Q187" s="52" t="s">
        <v>61</v>
      </c>
      <c r="R187" s="27" t="s">
        <v>42</v>
      </c>
      <c r="S187" s="27" t="s">
        <v>71</v>
      </c>
    </row>
    <row r="188" spans="1:19" x14ac:dyDescent="0.3">
      <c r="A188" s="44" t="s">
        <v>488</v>
      </c>
      <c r="B188" s="45">
        <v>45420</v>
      </c>
      <c r="C188" s="38" t="s">
        <v>489</v>
      </c>
      <c r="D188" s="38" t="s">
        <v>39</v>
      </c>
      <c r="E188" s="38" t="s">
        <v>56</v>
      </c>
      <c r="F188" s="38" t="s">
        <v>92</v>
      </c>
      <c r="G188" s="38" t="s">
        <v>77</v>
      </c>
      <c r="H188" s="38" t="s">
        <v>66</v>
      </c>
      <c r="I188" s="46">
        <v>9</v>
      </c>
      <c r="J188" s="47">
        <v>450000</v>
      </c>
      <c r="K188" s="47">
        <f t="shared" si="17"/>
        <v>450000</v>
      </c>
      <c r="L188" s="47">
        <f t="shared" si="12"/>
        <v>4050000</v>
      </c>
      <c r="M188" s="38">
        <v>10</v>
      </c>
      <c r="N188" s="47">
        <f t="shared" si="13"/>
        <v>405000</v>
      </c>
      <c r="O188" s="47">
        <f t="shared" si="14"/>
        <v>3645000</v>
      </c>
      <c r="P188" s="38" t="s">
        <v>44</v>
      </c>
      <c r="Q188" s="43" t="s">
        <v>92</v>
      </c>
      <c r="R188" s="27" t="s">
        <v>77</v>
      </c>
      <c r="S188" s="27" t="s">
        <v>66</v>
      </c>
    </row>
    <row r="189" spans="1:19" x14ac:dyDescent="0.3">
      <c r="A189" s="48" t="s">
        <v>490</v>
      </c>
      <c r="B189" s="49">
        <v>45440</v>
      </c>
      <c r="C189" s="39" t="s">
        <v>491</v>
      </c>
      <c r="D189" s="39" t="s">
        <v>154</v>
      </c>
      <c r="E189" s="39" t="s">
        <v>70</v>
      </c>
      <c r="F189" s="39" t="s">
        <v>99</v>
      </c>
      <c r="G189" s="39" t="s">
        <v>77</v>
      </c>
      <c r="H189" s="39" t="s">
        <v>66</v>
      </c>
      <c r="I189" s="50">
        <v>5</v>
      </c>
      <c r="J189" s="51">
        <v>95000</v>
      </c>
      <c r="K189" s="51">
        <f t="shared" si="17"/>
        <v>95000</v>
      </c>
      <c r="L189" s="51">
        <f t="shared" si="12"/>
        <v>475000</v>
      </c>
      <c r="M189" s="39">
        <v>0</v>
      </c>
      <c r="N189" s="51">
        <f t="shared" si="13"/>
        <v>0</v>
      </c>
      <c r="O189" s="51">
        <f t="shared" si="14"/>
        <v>475000</v>
      </c>
      <c r="P189" s="39" t="s">
        <v>51</v>
      </c>
      <c r="Q189" s="52" t="s">
        <v>99</v>
      </c>
      <c r="R189" s="27" t="s">
        <v>77</v>
      </c>
      <c r="S189" s="27" t="s">
        <v>66</v>
      </c>
    </row>
    <row r="190" spans="1:19" x14ac:dyDescent="0.3">
      <c r="A190" s="44" t="s">
        <v>492</v>
      </c>
      <c r="B190" s="45">
        <v>45452</v>
      </c>
      <c r="C190" s="38" t="s">
        <v>493</v>
      </c>
      <c r="D190" s="38" t="s">
        <v>154</v>
      </c>
      <c r="E190" s="38" t="s">
        <v>40</v>
      </c>
      <c r="F190" s="38" t="s">
        <v>57</v>
      </c>
      <c r="G190" s="38" t="s">
        <v>42</v>
      </c>
      <c r="H190" s="38" t="s">
        <v>71</v>
      </c>
      <c r="I190" s="46">
        <v>15</v>
      </c>
      <c r="J190" s="47">
        <v>28000</v>
      </c>
      <c r="K190" s="47">
        <f t="shared" si="17"/>
        <v>28000</v>
      </c>
      <c r="L190" s="47">
        <f t="shared" si="12"/>
        <v>420000</v>
      </c>
      <c r="M190" s="38">
        <v>0</v>
      </c>
      <c r="N190" s="47">
        <f t="shared" si="13"/>
        <v>0</v>
      </c>
      <c r="O190" s="47">
        <f t="shared" si="14"/>
        <v>420000</v>
      </c>
      <c r="P190" s="38" t="s">
        <v>51</v>
      </c>
      <c r="Q190" s="43" t="s">
        <v>57</v>
      </c>
      <c r="R190" s="27" t="s">
        <v>42</v>
      </c>
      <c r="S190" s="27" t="s">
        <v>71</v>
      </c>
    </row>
    <row r="191" spans="1:19" x14ac:dyDescent="0.3">
      <c r="A191" s="48" t="s">
        <v>494</v>
      </c>
      <c r="B191" s="49">
        <v>45524</v>
      </c>
      <c r="C191" s="39" t="s">
        <v>495</v>
      </c>
      <c r="D191" s="39" t="s">
        <v>55</v>
      </c>
      <c r="E191" s="39" t="s">
        <v>49</v>
      </c>
      <c r="F191" s="39" t="s">
        <v>82</v>
      </c>
      <c r="G191" s="39" t="s">
        <v>77</v>
      </c>
      <c r="H191" s="39" t="s">
        <v>66</v>
      </c>
      <c r="I191" s="50">
        <v>11</v>
      </c>
      <c r="J191" s="51">
        <v>220000</v>
      </c>
      <c r="K191" s="51">
        <f t="shared" si="17"/>
        <v>220000</v>
      </c>
      <c r="L191" s="51">
        <f t="shared" si="12"/>
        <v>2420000</v>
      </c>
      <c r="M191" s="39">
        <v>0</v>
      </c>
      <c r="N191" s="51">
        <f t="shared" si="13"/>
        <v>0</v>
      </c>
      <c r="O191" s="51">
        <f t="shared" si="14"/>
        <v>2420000</v>
      </c>
      <c r="P191" s="39" t="s">
        <v>51</v>
      </c>
      <c r="Q191" s="52" t="s">
        <v>82</v>
      </c>
      <c r="R191" s="27" t="s">
        <v>77</v>
      </c>
      <c r="S191" s="27" t="s">
        <v>66</v>
      </c>
    </row>
    <row r="192" spans="1:19" x14ac:dyDescent="0.3">
      <c r="A192" s="44" t="s">
        <v>496</v>
      </c>
      <c r="B192" s="45">
        <v>45420</v>
      </c>
      <c r="C192" s="38" t="s">
        <v>497</v>
      </c>
      <c r="D192" s="38" t="s">
        <v>141</v>
      </c>
      <c r="E192" s="38" t="s">
        <v>49</v>
      </c>
      <c r="F192" s="38" t="s">
        <v>76</v>
      </c>
      <c r="G192" s="38" t="s">
        <v>77</v>
      </c>
      <c r="H192" s="38" t="s">
        <v>71</v>
      </c>
      <c r="I192" s="46">
        <v>10</v>
      </c>
      <c r="J192" s="47">
        <v>180000</v>
      </c>
      <c r="K192" s="47">
        <f t="shared" si="17"/>
        <v>180000</v>
      </c>
      <c r="L192" s="47">
        <f t="shared" si="12"/>
        <v>1800000</v>
      </c>
      <c r="M192" s="38">
        <v>0</v>
      </c>
      <c r="N192" s="47">
        <f t="shared" si="13"/>
        <v>0</v>
      </c>
      <c r="O192" s="47">
        <f t="shared" si="14"/>
        <v>1800000</v>
      </c>
      <c r="P192" s="38" t="s">
        <v>44</v>
      </c>
      <c r="Q192" s="43" t="s">
        <v>76</v>
      </c>
      <c r="R192" s="27" t="s">
        <v>77</v>
      </c>
      <c r="S192" s="27" t="s">
        <v>71</v>
      </c>
    </row>
    <row r="193" spans="1:19" x14ac:dyDescent="0.3">
      <c r="A193" s="48" t="s">
        <v>498</v>
      </c>
      <c r="B193" s="49">
        <v>45583</v>
      </c>
      <c r="C193" s="39" t="s">
        <v>499</v>
      </c>
      <c r="D193" s="39" t="s">
        <v>109</v>
      </c>
      <c r="E193" s="39" t="s">
        <v>49</v>
      </c>
      <c r="F193" s="39" t="s">
        <v>82</v>
      </c>
      <c r="G193" s="39" t="s">
        <v>77</v>
      </c>
      <c r="H193" s="39" t="s">
        <v>43</v>
      </c>
      <c r="I193" s="50">
        <v>18</v>
      </c>
      <c r="J193" s="51">
        <v>220000</v>
      </c>
      <c r="K193" s="51">
        <f t="shared" si="17"/>
        <v>220000</v>
      </c>
      <c r="L193" s="51">
        <f t="shared" si="12"/>
        <v>3960000</v>
      </c>
      <c r="M193" s="39">
        <v>0</v>
      </c>
      <c r="N193" s="51">
        <f t="shared" si="13"/>
        <v>0</v>
      </c>
      <c r="O193" s="51">
        <f t="shared" si="14"/>
        <v>3960000</v>
      </c>
      <c r="P193" s="39" t="s">
        <v>51</v>
      </c>
      <c r="Q193" s="52" t="s">
        <v>82</v>
      </c>
      <c r="R193" s="27" t="s">
        <v>77</v>
      </c>
      <c r="S193" s="27" t="s">
        <v>43</v>
      </c>
    </row>
    <row r="194" spans="1:19" x14ac:dyDescent="0.3">
      <c r="A194" s="48" t="s">
        <v>500</v>
      </c>
      <c r="B194" s="49">
        <v>45436</v>
      </c>
      <c r="C194" s="39" t="s">
        <v>501</v>
      </c>
      <c r="D194" s="39" t="s">
        <v>65</v>
      </c>
      <c r="E194" s="39" t="s">
        <v>40</v>
      </c>
      <c r="F194" s="39" t="s">
        <v>50</v>
      </c>
      <c r="G194" s="39" t="s">
        <v>42</v>
      </c>
      <c r="H194" s="39" t="s">
        <v>130</v>
      </c>
      <c r="I194" s="50">
        <v>12</v>
      </c>
      <c r="J194" s="51">
        <v>18000</v>
      </c>
      <c r="K194" s="51">
        <f t="shared" si="17"/>
        <v>18000</v>
      </c>
      <c r="L194" s="51">
        <f t="shared" ref="L194:L257" si="18">I194*K194</f>
        <v>216000</v>
      </c>
      <c r="M194" s="39">
        <v>0</v>
      </c>
      <c r="N194" s="51">
        <f t="shared" ref="N194:N257" si="19">M194/100 * L194</f>
        <v>0</v>
      </c>
      <c r="O194" s="51">
        <f t="shared" ref="O194:O257" si="20">L194-N194</f>
        <v>216000</v>
      </c>
      <c r="P194" s="39" t="s">
        <v>86</v>
      </c>
      <c r="Q194" s="52" t="s">
        <v>50</v>
      </c>
      <c r="R194" s="27" t="s">
        <v>42</v>
      </c>
      <c r="S194" s="27" t="s">
        <v>130</v>
      </c>
    </row>
    <row r="195" spans="1:19" x14ac:dyDescent="0.3">
      <c r="A195" s="44" t="s">
        <v>502</v>
      </c>
      <c r="B195" s="45">
        <v>45606</v>
      </c>
      <c r="C195" s="38" t="s">
        <v>503</v>
      </c>
      <c r="D195" s="38" t="s">
        <v>118</v>
      </c>
      <c r="E195" s="38" t="s">
        <v>40</v>
      </c>
      <c r="F195" s="38" t="s">
        <v>76</v>
      </c>
      <c r="G195" s="38" t="s">
        <v>77</v>
      </c>
      <c r="H195" s="38" t="s">
        <v>43</v>
      </c>
      <c r="I195" s="46">
        <v>3</v>
      </c>
      <c r="J195" s="47">
        <v>180000</v>
      </c>
      <c r="K195" s="47">
        <f t="shared" si="17"/>
        <v>180000</v>
      </c>
      <c r="L195" s="47">
        <f t="shared" si="18"/>
        <v>540000</v>
      </c>
      <c r="M195" s="38">
        <v>0</v>
      </c>
      <c r="N195" s="47">
        <f t="shared" si="19"/>
        <v>0</v>
      </c>
      <c r="O195" s="47">
        <f t="shared" si="20"/>
        <v>540000</v>
      </c>
      <c r="P195" s="38" t="s">
        <v>51</v>
      </c>
      <c r="Q195" s="43" t="s">
        <v>76</v>
      </c>
      <c r="R195" s="27" t="s">
        <v>77</v>
      </c>
      <c r="S195" s="27" t="s">
        <v>43</v>
      </c>
    </row>
    <row r="196" spans="1:19" x14ac:dyDescent="0.3">
      <c r="A196" s="48" t="s">
        <v>504</v>
      </c>
      <c r="B196" s="49">
        <v>45616</v>
      </c>
      <c r="C196" s="39" t="s">
        <v>505</v>
      </c>
      <c r="D196" s="39" t="s">
        <v>39</v>
      </c>
      <c r="E196" s="39" t="s">
        <v>70</v>
      </c>
      <c r="F196" s="39" t="s">
        <v>82</v>
      </c>
      <c r="G196" s="39" t="s">
        <v>77</v>
      </c>
      <c r="H196" s="39" t="s">
        <v>981</v>
      </c>
      <c r="I196" s="50">
        <v>10</v>
      </c>
      <c r="J196" s="51">
        <v>220000</v>
      </c>
      <c r="K196" s="51">
        <f t="shared" si="17"/>
        <v>220000</v>
      </c>
      <c r="L196" s="51">
        <f t="shared" si="18"/>
        <v>2200000</v>
      </c>
      <c r="M196" s="39">
        <v>20</v>
      </c>
      <c r="N196" s="51">
        <f t="shared" si="19"/>
        <v>440000</v>
      </c>
      <c r="O196" s="51">
        <f t="shared" si="20"/>
        <v>1760000</v>
      </c>
      <c r="P196" s="39" t="s">
        <v>51</v>
      </c>
      <c r="Q196" s="52" t="s">
        <v>82</v>
      </c>
      <c r="R196" s="27" t="s">
        <v>77</v>
      </c>
      <c r="S196" s="27" t="s">
        <v>982</v>
      </c>
    </row>
    <row r="197" spans="1:19" x14ac:dyDescent="0.3">
      <c r="A197" s="44" t="s">
        <v>506</v>
      </c>
      <c r="B197" s="45">
        <v>45514</v>
      </c>
      <c r="C197" s="38" t="s">
        <v>507</v>
      </c>
      <c r="D197" s="38" t="s">
        <v>154</v>
      </c>
      <c r="E197" s="38" t="s">
        <v>70</v>
      </c>
      <c r="F197" s="38" t="s">
        <v>76</v>
      </c>
      <c r="G197" s="38" t="s">
        <v>77</v>
      </c>
      <c r="H197" s="38" t="s">
        <v>66</v>
      </c>
      <c r="I197" s="46">
        <v>18</v>
      </c>
      <c r="J197" s="47">
        <v>180000</v>
      </c>
      <c r="K197" s="47">
        <f t="shared" si="17"/>
        <v>180000</v>
      </c>
      <c r="L197" s="47">
        <f t="shared" si="18"/>
        <v>3240000</v>
      </c>
      <c r="M197" s="38">
        <v>0</v>
      </c>
      <c r="N197" s="47">
        <f t="shared" si="19"/>
        <v>0</v>
      </c>
      <c r="O197" s="47">
        <f t="shared" si="20"/>
        <v>3240000</v>
      </c>
      <c r="P197" s="38" t="s">
        <v>51</v>
      </c>
      <c r="Q197" s="43" t="s">
        <v>76</v>
      </c>
      <c r="R197" s="27" t="s">
        <v>77</v>
      </c>
      <c r="S197" s="27" t="s">
        <v>66</v>
      </c>
    </row>
    <row r="198" spans="1:19" x14ac:dyDescent="0.3">
      <c r="A198" s="48" t="s">
        <v>508</v>
      </c>
      <c r="B198" s="49">
        <v>45481</v>
      </c>
      <c r="C198" s="39" t="s">
        <v>509</v>
      </c>
      <c r="D198" s="39" t="s">
        <v>109</v>
      </c>
      <c r="E198" s="39" t="s">
        <v>70</v>
      </c>
      <c r="F198" s="39" t="s">
        <v>50</v>
      </c>
      <c r="G198" s="39" t="s">
        <v>42</v>
      </c>
      <c r="H198" s="39" t="s">
        <v>66</v>
      </c>
      <c r="I198" s="50">
        <v>13</v>
      </c>
      <c r="J198" s="51">
        <v>18000</v>
      </c>
      <c r="K198" s="51">
        <f t="shared" si="17"/>
        <v>18000</v>
      </c>
      <c r="L198" s="51">
        <f t="shared" si="18"/>
        <v>234000</v>
      </c>
      <c r="M198" s="39">
        <v>5</v>
      </c>
      <c r="N198" s="51">
        <f t="shared" si="19"/>
        <v>11700</v>
      </c>
      <c r="O198" s="51">
        <f t="shared" si="20"/>
        <v>222300</v>
      </c>
      <c r="P198" s="39" t="s">
        <v>44</v>
      </c>
      <c r="Q198" s="52" t="s">
        <v>50</v>
      </c>
      <c r="R198" s="27" t="s">
        <v>42</v>
      </c>
      <c r="S198" s="27" t="s">
        <v>66</v>
      </c>
    </row>
    <row r="199" spans="1:19" x14ac:dyDescent="0.3">
      <c r="A199" s="44" t="s">
        <v>510</v>
      </c>
      <c r="B199" s="45">
        <v>45373</v>
      </c>
      <c r="C199" s="38" t="s">
        <v>246</v>
      </c>
      <c r="D199" s="38" t="s">
        <v>55</v>
      </c>
      <c r="E199" s="38" t="s">
        <v>49</v>
      </c>
      <c r="F199" s="38" t="s">
        <v>57</v>
      </c>
      <c r="G199" s="38" t="s">
        <v>42</v>
      </c>
      <c r="H199" s="38" t="s">
        <v>43</v>
      </c>
      <c r="I199" s="46">
        <v>19</v>
      </c>
      <c r="J199" s="47">
        <v>28000</v>
      </c>
      <c r="K199" s="47">
        <f t="shared" si="17"/>
        <v>28000</v>
      </c>
      <c r="L199" s="47">
        <f t="shared" si="18"/>
        <v>532000</v>
      </c>
      <c r="M199" s="38">
        <v>5</v>
      </c>
      <c r="N199" s="47">
        <f t="shared" si="19"/>
        <v>26600</v>
      </c>
      <c r="O199" s="47">
        <f t="shared" si="20"/>
        <v>505400</v>
      </c>
      <c r="P199" s="38" t="s">
        <v>44</v>
      </c>
      <c r="Q199" s="43" t="s">
        <v>57</v>
      </c>
      <c r="R199" s="27" t="s">
        <v>42</v>
      </c>
      <c r="S199" s="27" t="s">
        <v>43</v>
      </c>
    </row>
    <row r="200" spans="1:19" x14ac:dyDescent="0.3">
      <c r="A200" s="48" t="s">
        <v>511</v>
      </c>
      <c r="B200" s="49">
        <v>45475</v>
      </c>
      <c r="C200" s="39" t="s">
        <v>512</v>
      </c>
      <c r="D200" s="39" t="s">
        <v>65</v>
      </c>
      <c r="E200" s="39" t="s">
        <v>56</v>
      </c>
      <c r="F200" s="39" t="s">
        <v>41</v>
      </c>
      <c r="G200" s="39" t="s">
        <v>42</v>
      </c>
      <c r="H200" s="39" t="s">
        <v>71</v>
      </c>
      <c r="I200" s="50">
        <v>7</v>
      </c>
      <c r="J200" s="51">
        <v>35000</v>
      </c>
      <c r="K200" s="51">
        <f t="shared" si="17"/>
        <v>35000</v>
      </c>
      <c r="L200" s="51">
        <f t="shared" si="18"/>
        <v>245000</v>
      </c>
      <c r="M200" s="39">
        <v>20</v>
      </c>
      <c r="N200" s="51">
        <f t="shared" si="19"/>
        <v>49000</v>
      </c>
      <c r="O200" s="51">
        <f t="shared" si="20"/>
        <v>196000</v>
      </c>
      <c r="P200" s="39" t="s">
        <v>51</v>
      </c>
      <c r="Q200" s="52" t="s">
        <v>41</v>
      </c>
      <c r="R200" s="27" t="s">
        <v>42</v>
      </c>
      <c r="S200" s="27" t="s">
        <v>71</v>
      </c>
    </row>
    <row r="201" spans="1:19" x14ac:dyDescent="0.3">
      <c r="A201" s="44" t="s">
        <v>513</v>
      </c>
      <c r="B201" s="45">
        <v>45542</v>
      </c>
      <c r="C201" s="38" t="s">
        <v>514</v>
      </c>
      <c r="D201" s="38" t="s">
        <v>39</v>
      </c>
      <c r="E201" s="38" t="s">
        <v>70</v>
      </c>
      <c r="F201" s="38" t="s">
        <v>61</v>
      </c>
      <c r="G201" s="38" t="s">
        <v>42</v>
      </c>
      <c r="H201" s="38" t="s">
        <v>43</v>
      </c>
      <c r="I201" s="46">
        <v>10</v>
      </c>
      <c r="J201" s="47">
        <v>22000</v>
      </c>
      <c r="K201" s="47">
        <f t="shared" si="17"/>
        <v>22000</v>
      </c>
      <c r="L201" s="47">
        <f t="shared" si="18"/>
        <v>220000</v>
      </c>
      <c r="M201" s="38">
        <v>0</v>
      </c>
      <c r="N201" s="47">
        <f t="shared" si="19"/>
        <v>0</v>
      </c>
      <c r="O201" s="47">
        <f t="shared" si="20"/>
        <v>220000</v>
      </c>
      <c r="P201" s="38" t="s">
        <v>51</v>
      </c>
      <c r="Q201" s="43" t="s">
        <v>61</v>
      </c>
      <c r="R201" s="27" t="s">
        <v>42</v>
      </c>
      <c r="S201" s="27" t="s">
        <v>43</v>
      </c>
    </row>
    <row r="202" spans="1:19" x14ac:dyDescent="0.3">
      <c r="A202" s="48" t="s">
        <v>515</v>
      </c>
      <c r="B202" s="49">
        <v>45418</v>
      </c>
      <c r="C202" s="39" t="s">
        <v>516</v>
      </c>
      <c r="D202" s="39" t="s">
        <v>141</v>
      </c>
      <c r="E202" s="39" t="s">
        <v>70</v>
      </c>
      <c r="F202" s="39" t="s">
        <v>61</v>
      </c>
      <c r="G202" s="39" t="s">
        <v>42</v>
      </c>
      <c r="H202" s="39" t="s">
        <v>71</v>
      </c>
      <c r="I202" s="50">
        <v>1</v>
      </c>
      <c r="J202" s="51">
        <v>22000</v>
      </c>
      <c r="K202" s="51">
        <f t="shared" si="17"/>
        <v>22000</v>
      </c>
      <c r="L202" s="51">
        <f t="shared" si="18"/>
        <v>22000</v>
      </c>
      <c r="M202" s="39">
        <v>0</v>
      </c>
      <c r="N202" s="51">
        <f t="shared" si="19"/>
        <v>0</v>
      </c>
      <c r="O202" s="51">
        <f t="shared" si="20"/>
        <v>22000</v>
      </c>
      <c r="P202" s="39" t="s">
        <v>86</v>
      </c>
      <c r="Q202" s="52" t="s">
        <v>61</v>
      </c>
      <c r="R202" s="27" t="s">
        <v>42</v>
      </c>
      <c r="S202" s="27" t="s">
        <v>71</v>
      </c>
    </row>
    <row r="203" spans="1:19" x14ac:dyDescent="0.3">
      <c r="A203" s="44" t="s">
        <v>517</v>
      </c>
      <c r="B203" s="45">
        <v>45449</v>
      </c>
      <c r="C203" s="38" t="s">
        <v>518</v>
      </c>
      <c r="D203" s="38" t="s">
        <v>65</v>
      </c>
      <c r="E203" s="38" t="s">
        <v>49</v>
      </c>
      <c r="F203" s="38" t="s">
        <v>50</v>
      </c>
      <c r="G203" s="38" t="s">
        <v>42</v>
      </c>
      <c r="H203" s="38" t="s">
        <v>66</v>
      </c>
      <c r="I203" s="46">
        <v>11</v>
      </c>
      <c r="J203" s="47">
        <v>18000</v>
      </c>
      <c r="K203" s="47">
        <f t="shared" si="17"/>
        <v>18000</v>
      </c>
      <c r="L203" s="47">
        <f t="shared" si="18"/>
        <v>198000</v>
      </c>
      <c r="M203" s="38">
        <v>10</v>
      </c>
      <c r="N203" s="47">
        <f t="shared" si="19"/>
        <v>19800</v>
      </c>
      <c r="O203" s="47">
        <f t="shared" si="20"/>
        <v>178200</v>
      </c>
      <c r="P203" s="38" t="s">
        <v>51</v>
      </c>
      <c r="Q203" s="43" t="s">
        <v>50</v>
      </c>
      <c r="R203" s="27" t="s">
        <v>42</v>
      </c>
      <c r="S203" s="27" t="s">
        <v>66</v>
      </c>
    </row>
    <row r="204" spans="1:19" x14ac:dyDescent="0.3">
      <c r="A204" s="48" t="s">
        <v>519</v>
      </c>
      <c r="B204" s="49">
        <v>45507</v>
      </c>
      <c r="C204" s="39" t="s">
        <v>520</v>
      </c>
      <c r="D204" s="39" t="s">
        <v>39</v>
      </c>
      <c r="E204" s="39" t="s">
        <v>56</v>
      </c>
      <c r="F204" s="39" t="s">
        <v>57</v>
      </c>
      <c r="G204" s="39" t="s">
        <v>42</v>
      </c>
      <c r="H204" s="39" t="s">
        <v>43</v>
      </c>
      <c r="I204" s="50">
        <v>5</v>
      </c>
      <c r="J204" s="51">
        <v>28000</v>
      </c>
      <c r="K204" s="51">
        <f t="shared" si="17"/>
        <v>28000</v>
      </c>
      <c r="L204" s="51">
        <f t="shared" si="18"/>
        <v>140000</v>
      </c>
      <c r="M204" s="39">
        <v>10</v>
      </c>
      <c r="N204" s="51">
        <f t="shared" si="19"/>
        <v>14000</v>
      </c>
      <c r="O204" s="51">
        <f t="shared" si="20"/>
        <v>126000</v>
      </c>
      <c r="P204" s="39" t="s">
        <v>44</v>
      </c>
      <c r="Q204" s="52" t="s">
        <v>57</v>
      </c>
      <c r="R204" s="27" t="s">
        <v>42</v>
      </c>
      <c r="S204" s="27" t="s">
        <v>43</v>
      </c>
    </row>
    <row r="205" spans="1:19" x14ac:dyDescent="0.3">
      <c r="A205" s="44" t="s">
        <v>521</v>
      </c>
      <c r="B205" s="45">
        <v>45453</v>
      </c>
      <c r="C205" s="38" t="s">
        <v>522</v>
      </c>
      <c r="D205" s="38" t="s">
        <v>141</v>
      </c>
      <c r="E205" s="38" t="s">
        <v>70</v>
      </c>
      <c r="F205" s="38" t="s">
        <v>92</v>
      </c>
      <c r="G205" s="38" t="s">
        <v>77</v>
      </c>
      <c r="H205" s="38" t="s">
        <v>66</v>
      </c>
      <c r="I205" s="46">
        <v>16</v>
      </c>
      <c r="J205" s="47">
        <v>450000</v>
      </c>
      <c r="K205" s="47">
        <f t="shared" si="17"/>
        <v>450000</v>
      </c>
      <c r="L205" s="47">
        <f t="shared" si="18"/>
        <v>7200000</v>
      </c>
      <c r="M205" s="38">
        <v>0</v>
      </c>
      <c r="N205" s="47">
        <f t="shared" si="19"/>
        <v>0</v>
      </c>
      <c r="O205" s="47">
        <f t="shared" si="20"/>
        <v>7200000</v>
      </c>
      <c r="P205" s="38" t="s">
        <v>44</v>
      </c>
      <c r="Q205" s="43" t="s">
        <v>92</v>
      </c>
      <c r="R205" s="27" t="s">
        <v>77</v>
      </c>
      <c r="S205" s="27" t="s">
        <v>66</v>
      </c>
    </row>
    <row r="206" spans="1:19" x14ac:dyDescent="0.3">
      <c r="A206" s="48" t="s">
        <v>523</v>
      </c>
      <c r="B206" s="49">
        <v>45653</v>
      </c>
      <c r="C206" s="39" t="s">
        <v>524</v>
      </c>
      <c r="D206" s="39" t="s">
        <v>55</v>
      </c>
      <c r="E206" s="39" t="s">
        <v>40</v>
      </c>
      <c r="F206" s="39" t="s">
        <v>61</v>
      </c>
      <c r="G206" s="39" t="s">
        <v>42</v>
      </c>
      <c r="H206" s="39" t="s">
        <v>71</v>
      </c>
      <c r="I206" s="50">
        <v>14</v>
      </c>
      <c r="J206" s="51">
        <v>22000</v>
      </c>
      <c r="K206" s="51">
        <f t="shared" si="17"/>
        <v>22000</v>
      </c>
      <c r="L206" s="51">
        <f t="shared" si="18"/>
        <v>308000</v>
      </c>
      <c r="M206" s="39">
        <v>0</v>
      </c>
      <c r="N206" s="51">
        <f t="shared" si="19"/>
        <v>0</v>
      </c>
      <c r="O206" s="51">
        <f t="shared" si="20"/>
        <v>308000</v>
      </c>
      <c r="P206" s="39" t="s">
        <v>44</v>
      </c>
      <c r="Q206" s="52" t="s">
        <v>61</v>
      </c>
      <c r="R206" s="27" t="s">
        <v>42</v>
      </c>
      <c r="S206" s="27" t="s">
        <v>71</v>
      </c>
    </row>
    <row r="207" spans="1:19" x14ac:dyDescent="0.3">
      <c r="A207" s="44" t="s">
        <v>525</v>
      </c>
      <c r="B207" s="45">
        <v>45358</v>
      </c>
      <c r="C207" s="38" t="s">
        <v>440</v>
      </c>
      <c r="D207" s="38" t="s">
        <v>154</v>
      </c>
      <c r="E207" s="38" t="s">
        <v>49</v>
      </c>
      <c r="F207" s="38" t="s">
        <v>99</v>
      </c>
      <c r="G207" s="38" t="s">
        <v>77</v>
      </c>
      <c r="H207" s="38" t="s">
        <v>71</v>
      </c>
      <c r="I207" s="46">
        <v>1</v>
      </c>
      <c r="J207" s="47">
        <v>95000</v>
      </c>
      <c r="K207" s="47">
        <f t="shared" si="17"/>
        <v>95000</v>
      </c>
      <c r="L207" s="47">
        <f t="shared" si="18"/>
        <v>95000</v>
      </c>
      <c r="M207" s="38">
        <v>5</v>
      </c>
      <c r="N207" s="47">
        <f t="shared" si="19"/>
        <v>4750</v>
      </c>
      <c r="O207" s="47">
        <f t="shared" si="20"/>
        <v>90250</v>
      </c>
      <c r="P207" s="38" t="s">
        <v>86</v>
      </c>
      <c r="Q207" s="43" t="s">
        <v>99</v>
      </c>
      <c r="R207" s="27" t="s">
        <v>77</v>
      </c>
      <c r="S207" s="27" t="s">
        <v>71</v>
      </c>
    </row>
    <row r="208" spans="1:19" x14ac:dyDescent="0.3">
      <c r="A208" s="48" t="s">
        <v>526</v>
      </c>
      <c r="B208" s="49">
        <v>45460</v>
      </c>
      <c r="C208" s="39" t="s">
        <v>527</v>
      </c>
      <c r="D208" s="39" t="s">
        <v>141</v>
      </c>
      <c r="E208" s="39" t="s">
        <v>528</v>
      </c>
      <c r="F208" s="39" t="s">
        <v>76</v>
      </c>
      <c r="G208" s="39" t="s">
        <v>77</v>
      </c>
      <c r="H208" s="39" t="s">
        <v>66</v>
      </c>
      <c r="I208" s="50">
        <v>6</v>
      </c>
      <c r="J208" s="51">
        <v>180000</v>
      </c>
      <c r="K208" s="51">
        <f t="shared" si="17"/>
        <v>180000</v>
      </c>
      <c r="L208" s="51">
        <f t="shared" si="18"/>
        <v>1080000</v>
      </c>
      <c r="M208" s="39">
        <v>5</v>
      </c>
      <c r="N208" s="51">
        <f t="shared" si="19"/>
        <v>54000</v>
      </c>
      <c r="O208" s="51">
        <f t="shared" si="20"/>
        <v>1026000</v>
      </c>
      <c r="P208" s="39" t="s">
        <v>239</v>
      </c>
      <c r="Q208" s="52" t="s">
        <v>76</v>
      </c>
      <c r="R208" s="27" t="s">
        <v>77</v>
      </c>
      <c r="S208" s="27" t="s">
        <v>66</v>
      </c>
    </row>
    <row r="209" spans="1:19" x14ac:dyDescent="0.3">
      <c r="A209" s="44" t="s">
        <v>530</v>
      </c>
      <c r="B209" s="45">
        <v>45567</v>
      </c>
      <c r="C209" s="38" t="s">
        <v>531</v>
      </c>
      <c r="D209" s="38" t="s">
        <v>81</v>
      </c>
      <c r="E209" s="38" t="s">
        <v>70</v>
      </c>
      <c r="F209" s="38" t="s">
        <v>92</v>
      </c>
      <c r="G209" s="38" t="s">
        <v>77</v>
      </c>
      <c r="H209" s="38" t="s">
        <v>66</v>
      </c>
      <c r="I209" s="46">
        <v>19</v>
      </c>
      <c r="J209" s="47">
        <v>450000</v>
      </c>
      <c r="K209" s="47">
        <f t="shared" si="17"/>
        <v>450000</v>
      </c>
      <c r="L209" s="47">
        <f t="shared" si="18"/>
        <v>8550000</v>
      </c>
      <c r="M209" s="38">
        <v>5</v>
      </c>
      <c r="N209" s="47">
        <f t="shared" si="19"/>
        <v>427500</v>
      </c>
      <c r="O209" s="47">
        <f t="shared" si="20"/>
        <v>8122500</v>
      </c>
      <c r="P209" s="38" t="s">
        <v>51</v>
      </c>
      <c r="Q209" s="43" t="s">
        <v>92</v>
      </c>
      <c r="R209" s="27" t="s">
        <v>77</v>
      </c>
      <c r="S209" s="27" t="s">
        <v>66</v>
      </c>
    </row>
    <row r="210" spans="1:19" x14ac:dyDescent="0.3">
      <c r="A210" s="48" t="s">
        <v>532</v>
      </c>
      <c r="B210" s="49">
        <v>45384</v>
      </c>
      <c r="C210" s="39" t="s">
        <v>505</v>
      </c>
      <c r="D210" s="39" t="s">
        <v>81</v>
      </c>
      <c r="E210" s="39" t="s">
        <v>40</v>
      </c>
      <c r="F210" s="39" t="s">
        <v>99</v>
      </c>
      <c r="G210" s="39" t="s">
        <v>77</v>
      </c>
      <c r="H210" s="39" t="s">
        <v>43</v>
      </c>
      <c r="I210" s="50">
        <v>5</v>
      </c>
      <c r="J210" s="51">
        <v>95000</v>
      </c>
      <c r="K210" s="51">
        <f t="shared" si="17"/>
        <v>95000</v>
      </c>
      <c r="L210" s="51">
        <f t="shared" si="18"/>
        <v>475000</v>
      </c>
      <c r="M210" s="39">
        <v>10</v>
      </c>
      <c r="N210" s="51">
        <f t="shared" si="19"/>
        <v>47500</v>
      </c>
      <c r="O210" s="51">
        <f t="shared" si="20"/>
        <v>427500</v>
      </c>
      <c r="P210" s="39" t="s">
        <v>44</v>
      </c>
      <c r="Q210" s="52" t="s">
        <v>99</v>
      </c>
      <c r="R210" s="27" t="s">
        <v>77</v>
      </c>
      <c r="S210" s="27" t="s">
        <v>43</v>
      </c>
    </row>
    <row r="211" spans="1:19" x14ac:dyDescent="0.3">
      <c r="A211" s="44" t="s">
        <v>533</v>
      </c>
      <c r="B211" s="45">
        <v>45398</v>
      </c>
      <c r="C211" s="38" t="s">
        <v>534</v>
      </c>
      <c r="D211" s="38" t="s">
        <v>81</v>
      </c>
      <c r="E211" s="38" t="s">
        <v>70</v>
      </c>
      <c r="F211" s="38" t="s">
        <v>41</v>
      </c>
      <c r="G211" s="38" t="s">
        <v>42</v>
      </c>
      <c r="H211" s="38" t="s">
        <v>66</v>
      </c>
      <c r="I211" s="46">
        <v>1</v>
      </c>
      <c r="J211" s="47">
        <v>35000</v>
      </c>
      <c r="K211" s="47">
        <f t="shared" si="17"/>
        <v>35000</v>
      </c>
      <c r="L211" s="47">
        <f t="shared" si="18"/>
        <v>35000</v>
      </c>
      <c r="M211" s="38">
        <v>0</v>
      </c>
      <c r="N211" s="47">
        <f t="shared" si="19"/>
        <v>0</v>
      </c>
      <c r="O211" s="47">
        <f t="shared" si="20"/>
        <v>35000</v>
      </c>
      <c r="P211" s="38" t="s">
        <v>51</v>
      </c>
      <c r="Q211" s="43" t="s">
        <v>41</v>
      </c>
      <c r="R211" s="27" t="s">
        <v>42</v>
      </c>
      <c r="S211" s="27" t="s">
        <v>66</v>
      </c>
    </row>
    <row r="212" spans="1:19" x14ac:dyDescent="0.3">
      <c r="A212" s="48" t="s">
        <v>535</v>
      </c>
      <c r="B212" s="49">
        <v>45437</v>
      </c>
      <c r="C212" s="39" t="s">
        <v>536</v>
      </c>
      <c r="D212" s="39" t="s">
        <v>48</v>
      </c>
      <c r="E212" s="39" t="s">
        <v>70</v>
      </c>
      <c r="F212" s="39" t="s">
        <v>41</v>
      </c>
      <c r="G212" s="39" t="s">
        <v>42</v>
      </c>
      <c r="H212" s="39" t="s">
        <v>66</v>
      </c>
      <c r="I212" s="50">
        <v>15</v>
      </c>
      <c r="J212" s="51">
        <v>35000</v>
      </c>
      <c r="K212" s="51">
        <f t="shared" si="17"/>
        <v>35000</v>
      </c>
      <c r="L212" s="51">
        <f t="shared" si="18"/>
        <v>525000</v>
      </c>
      <c r="M212" s="39">
        <v>20</v>
      </c>
      <c r="N212" s="51">
        <f t="shared" si="19"/>
        <v>105000</v>
      </c>
      <c r="O212" s="51">
        <f t="shared" si="20"/>
        <v>420000</v>
      </c>
      <c r="P212" s="39" t="s">
        <v>51</v>
      </c>
      <c r="Q212" s="52" t="s">
        <v>41</v>
      </c>
      <c r="R212" s="27" t="s">
        <v>42</v>
      </c>
      <c r="S212" s="27" t="s">
        <v>66</v>
      </c>
    </row>
    <row r="213" spans="1:19" x14ac:dyDescent="0.3">
      <c r="A213" s="44" t="s">
        <v>537</v>
      </c>
      <c r="B213" s="45">
        <v>45468</v>
      </c>
      <c r="C213" s="38" t="s">
        <v>538</v>
      </c>
      <c r="D213" s="38" t="s">
        <v>141</v>
      </c>
      <c r="E213" s="38" t="s">
        <v>49</v>
      </c>
      <c r="F213" s="38" t="s">
        <v>92</v>
      </c>
      <c r="G213" s="38" t="s">
        <v>77</v>
      </c>
      <c r="H213" s="38" t="s">
        <v>66</v>
      </c>
      <c r="I213" s="46">
        <v>13</v>
      </c>
      <c r="J213" s="47">
        <v>450000</v>
      </c>
      <c r="K213" s="47">
        <f t="shared" si="17"/>
        <v>450000</v>
      </c>
      <c r="L213" s="47">
        <f t="shared" si="18"/>
        <v>5850000</v>
      </c>
      <c r="M213" s="38">
        <v>20</v>
      </c>
      <c r="N213" s="47">
        <f t="shared" si="19"/>
        <v>1170000</v>
      </c>
      <c r="O213" s="47">
        <f t="shared" si="20"/>
        <v>4680000</v>
      </c>
      <c r="P213" s="38" t="s">
        <v>51</v>
      </c>
      <c r="Q213" s="43" t="s">
        <v>92</v>
      </c>
      <c r="R213" s="27" t="s">
        <v>77</v>
      </c>
      <c r="S213" s="27" t="s">
        <v>66</v>
      </c>
    </row>
    <row r="214" spans="1:19" x14ac:dyDescent="0.3">
      <c r="A214" s="48" t="s">
        <v>539</v>
      </c>
      <c r="B214" s="49">
        <v>45510</v>
      </c>
      <c r="C214" s="39" t="s">
        <v>540</v>
      </c>
      <c r="D214" s="39" t="s">
        <v>109</v>
      </c>
      <c r="E214" s="39" t="s">
        <v>40</v>
      </c>
      <c r="F214" s="39" t="s">
        <v>76</v>
      </c>
      <c r="G214" s="39" t="s">
        <v>77</v>
      </c>
      <c r="H214" s="39" t="s">
        <v>66</v>
      </c>
      <c r="I214" s="50">
        <v>13</v>
      </c>
      <c r="J214" s="51">
        <v>180000</v>
      </c>
      <c r="K214" s="51">
        <f t="shared" si="17"/>
        <v>180000</v>
      </c>
      <c r="L214" s="51">
        <f t="shared" si="18"/>
        <v>2340000</v>
      </c>
      <c r="M214" s="39">
        <v>20</v>
      </c>
      <c r="N214" s="51">
        <f t="shared" si="19"/>
        <v>468000</v>
      </c>
      <c r="O214" s="51">
        <f t="shared" si="20"/>
        <v>1872000</v>
      </c>
      <c r="P214" s="39" t="s">
        <v>51</v>
      </c>
      <c r="Q214" s="52" t="s">
        <v>76</v>
      </c>
      <c r="R214" s="27" t="s">
        <v>77</v>
      </c>
      <c r="S214" s="27" t="s">
        <v>66</v>
      </c>
    </row>
    <row r="215" spans="1:19" x14ac:dyDescent="0.3">
      <c r="A215" s="44" t="s">
        <v>541</v>
      </c>
      <c r="B215" s="45">
        <v>45476</v>
      </c>
      <c r="C215" s="38" t="s">
        <v>542</v>
      </c>
      <c r="D215" s="38" t="s">
        <v>109</v>
      </c>
      <c r="E215" s="38" t="s">
        <v>49</v>
      </c>
      <c r="F215" s="38" t="s">
        <v>92</v>
      </c>
      <c r="G215" s="38" t="s">
        <v>77</v>
      </c>
      <c r="H215" s="38" t="s">
        <v>43</v>
      </c>
      <c r="I215" s="46">
        <v>14</v>
      </c>
      <c r="J215" s="47">
        <v>450000</v>
      </c>
      <c r="K215" s="47">
        <f t="shared" si="17"/>
        <v>450000</v>
      </c>
      <c r="L215" s="47">
        <f t="shared" si="18"/>
        <v>6300000</v>
      </c>
      <c r="M215" s="38">
        <v>15</v>
      </c>
      <c r="N215" s="47">
        <f t="shared" si="19"/>
        <v>945000</v>
      </c>
      <c r="O215" s="47">
        <f t="shared" si="20"/>
        <v>5355000</v>
      </c>
      <c r="P215" s="38" t="s">
        <v>51</v>
      </c>
      <c r="Q215" s="43" t="s">
        <v>92</v>
      </c>
      <c r="R215" s="27" t="s">
        <v>77</v>
      </c>
      <c r="S215" s="27" t="s">
        <v>43</v>
      </c>
    </row>
    <row r="216" spans="1:19" x14ac:dyDescent="0.3">
      <c r="A216" s="48" t="s">
        <v>543</v>
      </c>
      <c r="B216" s="49">
        <v>45387</v>
      </c>
      <c r="C216" s="39" t="s">
        <v>276</v>
      </c>
      <c r="D216" s="39" t="s">
        <v>55</v>
      </c>
      <c r="E216" s="39" t="s">
        <v>70</v>
      </c>
      <c r="F216" s="39" t="s">
        <v>92</v>
      </c>
      <c r="G216" s="39" t="s">
        <v>77</v>
      </c>
      <c r="H216" s="39" t="s">
        <v>66</v>
      </c>
      <c r="I216" s="50">
        <v>20</v>
      </c>
      <c r="J216" s="51">
        <v>450000</v>
      </c>
      <c r="K216" s="51">
        <f t="shared" si="17"/>
        <v>450000</v>
      </c>
      <c r="L216" s="51">
        <f t="shared" si="18"/>
        <v>9000000</v>
      </c>
      <c r="M216" s="39">
        <v>0</v>
      </c>
      <c r="N216" s="51">
        <f t="shared" si="19"/>
        <v>0</v>
      </c>
      <c r="O216" s="51">
        <f t="shared" si="20"/>
        <v>9000000</v>
      </c>
      <c r="P216" s="39" t="s">
        <v>51</v>
      </c>
      <c r="Q216" s="52" t="s">
        <v>92</v>
      </c>
      <c r="R216" s="27" t="s">
        <v>77</v>
      </c>
      <c r="S216" s="27" t="s">
        <v>66</v>
      </c>
    </row>
    <row r="217" spans="1:19" x14ac:dyDescent="0.3">
      <c r="A217" s="44" t="s">
        <v>544</v>
      </c>
      <c r="B217" s="45">
        <v>45420</v>
      </c>
      <c r="C217" s="38" t="s">
        <v>545</v>
      </c>
      <c r="D217" s="38" t="s">
        <v>39</v>
      </c>
      <c r="E217" s="38" t="s">
        <v>40</v>
      </c>
      <c r="F217" s="38" t="s">
        <v>92</v>
      </c>
      <c r="G217" s="38" t="s">
        <v>77</v>
      </c>
      <c r="H217" s="38" t="s">
        <v>71</v>
      </c>
      <c r="I217" s="46">
        <v>4</v>
      </c>
      <c r="J217" s="47">
        <v>450000</v>
      </c>
      <c r="K217" s="47">
        <f t="shared" si="17"/>
        <v>450000</v>
      </c>
      <c r="L217" s="47">
        <f t="shared" si="18"/>
        <v>1800000</v>
      </c>
      <c r="M217" s="38">
        <v>0</v>
      </c>
      <c r="N217" s="47">
        <f t="shared" si="19"/>
        <v>0</v>
      </c>
      <c r="O217" s="47">
        <f t="shared" si="20"/>
        <v>1800000</v>
      </c>
      <c r="P217" s="38" t="s">
        <v>51</v>
      </c>
      <c r="Q217" s="43" t="s">
        <v>92</v>
      </c>
      <c r="R217" s="27" t="s">
        <v>77</v>
      </c>
      <c r="S217" s="27" t="s">
        <v>71</v>
      </c>
    </row>
    <row r="218" spans="1:19" x14ac:dyDescent="0.3">
      <c r="A218" s="48" t="s">
        <v>546</v>
      </c>
      <c r="B218" s="49">
        <v>45461</v>
      </c>
      <c r="C218" s="39" t="s">
        <v>547</v>
      </c>
      <c r="D218" s="39" t="s">
        <v>65</v>
      </c>
      <c r="E218" s="39" t="s">
        <v>70</v>
      </c>
      <c r="F218" s="39" t="s">
        <v>57</v>
      </c>
      <c r="G218" s="39" t="s">
        <v>42</v>
      </c>
      <c r="H218" s="39" t="s">
        <v>66</v>
      </c>
      <c r="I218" s="50">
        <v>14</v>
      </c>
      <c r="J218" s="51">
        <v>28000</v>
      </c>
      <c r="K218" s="51">
        <f t="shared" si="17"/>
        <v>28000</v>
      </c>
      <c r="L218" s="51">
        <f t="shared" si="18"/>
        <v>392000</v>
      </c>
      <c r="M218" s="39">
        <v>5</v>
      </c>
      <c r="N218" s="51">
        <f t="shared" si="19"/>
        <v>19600</v>
      </c>
      <c r="O218" s="51">
        <f t="shared" si="20"/>
        <v>372400</v>
      </c>
      <c r="P218" s="39" t="s">
        <v>51</v>
      </c>
      <c r="Q218" s="52" t="s">
        <v>57</v>
      </c>
      <c r="R218" s="27" t="s">
        <v>42</v>
      </c>
      <c r="S218" s="27" t="s">
        <v>66</v>
      </c>
    </row>
    <row r="219" spans="1:19" x14ac:dyDescent="0.3">
      <c r="A219" s="44" t="s">
        <v>548</v>
      </c>
      <c r="B219" s="45">
        <v>45400</v>
      </c>
      <c r="C219" s="38" t="s">
        <v>549</v>
      </c>
      <c r="D219" s="38" t="s">
        <v>55</v>
      </c>
      <c r="E219" s="38" t="s">
        <v>49</v>
      </c>
      <c r="F219" s="38" t="s">
        <v>76</v>
      </c>
      <c r="G219" s="38" t="s">
        <v>77</v>
      </c>
      <c r="H219" s="38" t="s">
        <v>43</v>
      </c>
      <c r="I219" s="46">
        <v>4</v>
      </c>
      <c r="J219" s="47">
        <v>180000</v>
      </c>
      <c r="K219" s="47">
        <f t="shared" ref="K219:K242" si="21">J219</f>
        <v>180000</v>
      </c>
      <c r="L219" s="47">
        <f t="shared" si="18"/>
        <v>720000</v>
      </c>
      <c r="M219" s="38">
        <v>0</v>
      </c>
      <c r="N219" s="47">
        <f t="shared" si="19"/>
        <v>0</v>
      </c>
      <c r="O219" s="47">
        <f t="shared" si="20"/>
        <v>720000</v>
      </c>
      <c r="P219" s="38" t="s">
        <v>51</v>
      </c>
      <c r="Q219" s="43" t="s">
        <v>76</v>
      </c>
      <c r="R219" s="27" t="s">
        <v>77</v>
      </c>
      <c r="S219" s="27" t="s">
        <v>43</v>
      </c>
    </row>
    <row r="220" spans="1:19" x14ac:dyDescent="0.3">
      <c r="A220" s="48" t="s">
        <v>550</v>
      </c>
      <c r="B220" s="49">
        <v>45484</v>
      </c>
      <c r="C220" s="39" t="s">
        <v>551</v>
      </c>
      <c r="D220" s="39" t="s">
        <v>154</v>
      </c>
      <c r="E220" s="39" t="s">
        <v>40</v>
      </c>
      <c r="F220" s="39" t="s">
        <v>99</v>
      </c>
      <c r="G220" s="39" t="s">
        <v>77</v>
      </c>
      <c r="H220" s="39" t="s">
        <v>71</v>
      </c>
      <c r="I220" s="50">
        <v>17</v>
      </c>
      <c r="J220" s="51">
        <v>95000</v>
      </c>
      <c r="K220" s="51">
        <f t="shared" si="21"/>
        <v>95000</v>
      </c>
      <c r="L220" s="51">
        <f t="shared" si="18"/>
        <v>1615000</v>
      </c>
      <c r="M220" s="39">
        <v>0</v>
      </c>
      <c r="N220" s="51">
        <f t="shared" si="19"/>
        <v>0</v>
      </c>
      <c r="O220" s="51">
        <f t="shared" si="20"/>
        <v>1615000</v>
      </c>
      <c r="P220" s="39" t="s">
        <v>51</v>
      </c>
      <c r="Q220" s="52" t="s">
        <v>99</v>
      </c>
      <c r="R220" s="27" t="s">
        <v>77</v>
      </c>
      <c r="S220" s="27" t="s">
        <v>71</v>
      </c>
    </row>
    <row r="221" spans="1:19" x14ac:dyDescent="0.3">
      <c r="A221" s="44" t="s">
        <v>552</v>
      </c>
      <c r="B221" s="45">
        <v>45375</v>
      </c>
      <c r="C221" s="38" t="s">
        <v>553</v>
      </c>
      <c r="D221" s="38" t="s">
        <v>154</v>
      </c>
      <c r="E221" s="38" t="s">
        <v>49</v>
      </c>
      <c r="F221" s="38" t="s">
        <v>99</v>
      </c>
      <c r="G221" s="38" t="s">
        <v>77</v>
      </c>
      <c r="H221" s="38" t="s">
        <v>66</v>
      </c>
      <c r="I221" s="46">
        <v>18</v>
      </c>
      <c r="J221" s="47">
        <v>95000</v>
      </c>
      <c r="K221" s="47">
        <f t="shared" si="21"/>
        <v>95000</v>
      </c>
      <c r="L221" s="47">
        <f t="shared" si="18"/>
        <v>1710000</v>
      </c>
      <c r="M221" s="38">
        <v>5</v>
      </c>
      <c r="N221" s="47">
        <f t="shared" si="19"/>
        <v>85500</v>
      </c>
      <c r="O221" s="47">
        <f t="shared" si="20"/>
        <v>1624500</v>
      </c>
      <c r="P221" s="38" t="s">
        <v>51</v>
      </c>
      <c r="Q221" s="43" t="s">
        <v>99</v>
      </c>
      <c r="R221" s="27" t="s">
        <v>77</v>
      </c>
      <c r="S221" s="27" t="s">
        <v>66</v>
      </c>
    </row>
    <row r="222" spans="1:19" x14ac:dyDescent="0.3">
      <c r="A222" s="48" t="s">
        <v>554</v>
      </c>
      <c r="B222" s="49">
        <v>45553</v>
      </c>
      <c r="C222" s="39" t="s">
        <v>555</v>
      </c>
      <c r="D222" s="39" t="s">
        <v>154</v>
      </c>
      <c r="E222" s="39" t="s">
        <v>70</v>
      </c>
      <c r="F222" s="39" t="s">
        <v>57</v>
      </c>
      <c r="G222" s="39" t="s">
        <v>42</v>
      </c>
      <c r="H222" s="39" t="s">
        <v>43</v>
      </c>
      <c r="I222" s="50">
        <v>8</v>
      </c>
      <c r="J222" s="51">
        <v>28000</v>
      </c>
      <c r="K222" s="51">
        <f t="shared" si="21"/>
        <v>28000</v>
      </c>
      <c r="L222" s="51">
        <f t="shared" si="18"/>
        <v>224000</v>
      </c>
      <c r="M222" s="39">
        <v>15</v>
      </c>
      <c r="N222" s="51">
        <f t="shared" si="19"/>
        <v>33600</v>
      </c>
      <c r="O222" s="51">
        <f t="shared" si="20"/>
        <v>190400</v>
      </c>
      <c r="P222" s="39" t="s">
        <v>51</v>
      </c>
      <c r="Q222" s="52" t="s">
        <v>57</v>
      </c>
      <c r="R222" s="27" t="s">
        <v>42</v>
      </c>
      <c r="S222" s="27" t="s">
        <v>43</v>
      </c>
    </row>
    <row r="223" spans="1:19" x14ac:dyDescent="0.3">
      <c r="A223" s="44" t="s">
        <v>556</v>
      </c>
      <c r="B223" s="45">
        <v>45632</v>
      </c>
      <c r="C223" s="38" t="s">
        <v>557</v>
      </c>
      <c r="D223" s="38" t="s">
        <v>75</v>
      </c>
      <c r="E223" s="38" t="s">
        <v>40</v>
      </c>
      <c r="F223" s="38" t="s">
        <v>76</v>
      </c>
      <c r="G223" s="38" t="s">
        <v>77</v>
      </c>
      <c r="H223" s="38" t="s">
        <v>71</v>
      </c>
      <c r="I223" s="46">
        <v>5</v>
      </c>
      <c r="J223" s="47">
        <v>180000</v>
      </c>
      <c r="K223" s="47">
        <f t="shared" si="21"/>
        <v>180000</v>
      </c>
      <c r="L223" s="47">
        <f t="shared" si="18"/>
        <v>900000</v>
      </c>
      <c r="M223" s="38">
        <v>0</v>
      </c>
      <c r="N223" s="47">
        <f t="shared" si="19"/>
        <v>0</v>
      </c>
      <c r="O223" s="47">
        <f t="shared" si="20"/>
        <v>900000</v>
      </c>
      <c r="P223" s="38" t="s">
        <v>51</v>
      </c>
      <c r="Q223" s="43" t="s">
        <v>76</v>
      </c>
      <c r="R223" s="27" t="s">
        <v>77</v>
      </c>
      <c r="S223" s="27" t="s">
        <v>71</v>
      </c>
    </row>
    <row r="224" spans="1:19" x14ac:dyDescent="0.3">
      <c r="A224" s="48" t="s">
        <v>558</v>
      </c>
      <c r="B224" s="49">
        <v>45433</v>
      </c>
      <c r="C224" s="39" t="s">
        <v>559</v>
      </c>
      <c r="D224" s="39" t="s">
        <v>48</v>
      </c>
      <c r="E224" s="39" t="s">
        <v>49</v>
      </c>
      <c r="F224" s="39" t="s">
        <v>61</v>
      </c>
      <c r="G224" s="39" t="s">
        <v>42</v>
      </c>
      <c r="H224" s="39" t="s">
        <v>66</v>
      </c>
      <c r="I224" s="50">
        <v>15</v>
      </c>
      <c r="J224" s="51">
        <v>22000</v>
      </c>
      <c r="K224" s="51">
        <f t="shared" si="21"/>
        <v>22000</v>
      </c>
      <c r="L224" s="51">
        <f t="shared" si="18"/>
        <v>330000</v>
      </c>
      <c r="M224" s="39">
        <v>15</v>
      </c>
      <c r="N224" s="51">
        <f t="shared" si="19"/>
        <v>49500</v>
      </c>
      <c r="O224" s="51">
        <f t="shared" si="20"/>
        <v>280500</v>
      </c>
      <c r="P224" s="39" t="s">
        <v>51</v>
      </c>
      <c r="Q224" s="52" t="s">
        <v>61</v>
      </c>
      <c r="R224" s="27" t="s">
        <v>42</v>
      </c>
      <c r="S224" s="27" t="s">
        <v>66</v>
      </c>
    </row>
    <row r="225" spans="1:19" x14ac:dyDescent="0.3">
      <c r="A225" s="44" t="s">
        <v>560</v>
      </c>
      <c r="B225" s="45">
        <v>45588</v>
      </c>
      <c r="C225" s="38" t="s">
        <v>561</v>
      </c>
      <c r="D225" s="38" t="s">
        <v>75</v>
      </c>
      <c r="E225" s="38" t="s">
        <v>70</v>
      </c>
      <c r="F225" s="38" t="s">
        <v>41</v>
      </c>
      <c r="G225" s="38" t="s">
        <v>42</v>
      </c>
      <c r="H225" s="38" t="s">
        <v>71</v>
      </c>
      <c r="I225" s="46">
        <v>8</v>
      </c>
      <c r="J225" s="47">
        <v>35000</v>
      </c>
      <c r="K225" s="47">
        <f t="shared" si="21"/>
        <v>35000</v>
      </c>
      <c r="L225" s="47">
        <f t="shared" si="18"/>
        <v>280000</v>
      </c>
      <c r="M225" s="38">
        <v>15</v>
      </c>
      <c r="N225" s="47">
        <f t="shared" si="19"/>
        <v>42000</v>
      </c>
      <c r="O225" s="47">
        <f t="shared" si="20"/>
        <v>238000</v>
      </c>
      <c r="P225" s="38" t="s">
        <v>51</v>
      </c>
      <c r="Q225" s="43" t="s">
        <v>41</v>
      </c>
      <c r="R225" s="27" t="s">
        <v>42</v>
      </c>
      <c r="S225" s="27" t="s">
        <v>71</v>
      </c>
    </row>
    <row r="226" spans="1:19" x14ac:dyDescent="0.3">
      <c r="A226" s="48" t="s">
        <v>562</v>
      </c>
      <c r="B226" s="49">
        <v>45476</v>
      </c>
      <c r="C226" s="39" t="s">
        <v>159</v>
      </c>
      <c r="D226" s="39" t="s">
        <v>154</v>
      </c>
      <c r="E226" s="39" t="s">
        <v>40</v>
      </c>
      <c r="F226" s="39" t="s">
        <v>50</v>
      </c>
      <c r="G226" s="39" t="s">
        <v>42</v>
      </c>
      <c r="H226" s="39" t="s">
        <v>66</v>
      </c>
      <c r="I226" s="50">
        <v>3</v>
      </c>
      <c r="J226" s="51">
        <v>18000</v>
      </c>
      <c r="K226" s="51">
        <f t="shared" si="21"/>
        <v>18000</v>
      </c>
      <c r="L226" s="51">
        <f t="shared" si="18"/>
        <v>54000</v>
      </c>
      <c r="M226" s="39">
        <v>15</v>
      </c>
      <c r="N226" s="51">
        <f t="shared" si="19"/>
        <v>8100</v>
      </c>
      <c r="O226" s="51">
        <f t="shared" si="20"/>
        <v>45900</v>
      </c>
      <c r="P226" s="39" t="s">
        <v>131</v>
      </c>
      <c r="Q226" s="52" t="s">
        <v>50</v>
      </c>
      <c r="R226" s="27" t="s">
        <v>42</v>
      </c>
      <c r="S226" s="27" t="s">
        <v>66</v>
      </c>
    </row>
    <row r="227" spans="1:19" x14ac:dyDescent="0.3">
      <c r="A227" s="44" t="s">
        <v>565</v>
      </c>
      <c r="B227" s="45">
        <v>45543</v>
      </c>
      <c r="C227" s="38" t="s">
        <v>566</v>
      </c>
      <c r="D227" s="38" t="s">
        <v>81</v>
      </c>
      <c r="E227" s="39" t="s">
        <v>49</v>
      </c>
      <c r="F227" s="38" t="s">
        <v>82</v>
      </c>
      <c r="G227" s="38" t="s">
        <v>77</v>
      </c>
      <c r="H227" s="38" t="s">
        <v>66</v>
      </c>
      <c r="I227" s="46">
        <v>7</v>
      </c>
      <c r="J227" s="47">
        <v>220000</v>
      </c>
      <c r="K227" s="47">
        <f t="shared" si="21"/>
        <v>220000</v>
      </c>
      <c r="L227" s="47">
        <f t="shared" si="18"/>
        <v>1540000</v>
      </c>
      <c r="M227" s="38">
        <v>15</v>
      </c>
      <c r="N227" s="47">
        <f t="shared" si="19"/>
        <v>231000</v>
      </c>
      <c r="O227" s="47">
        <f t="shared" si="20"/>
        <v>1309000</v>
      </c>
      <c r="P227" s="38" t="s">
        <v>51</v>
      </c>
      <c r="Q227" s="43" t="s">
        <v>82</v>
      </c>
      <c r="R227" s="27" t="s">
        <v>77</v>
      </c>
      <c r="S227" s="27" t="s">
        <v>66</v>
      </c>
    </row>
    <row r="228" spans="1:19" x14ac:dyDescent="0.3">
      <c r="A228" s="48" t="s">
        <v>567</v>
      </c>
      <c r="B228" s="49">
        <v>45373</v>
      </c>
      <c r="C228" s="39" t="s">
        <v>568</v>
      </c>
      <c r="D228" s="39" t="s">
        <v>48</v>
      </c>
      <c r="E228" s="39" t="s">
        <v>49</v>
      </c>
      <c r="F228" s="39" t="s">
        <v>57</v>
      </c>
      <c r="G228" s="39" t="s">
        <v>42</v>
      </c>
      <c r="H228" s="39" t="s">
        <v>66</v>
      </c>
      <c r="I228" s="50">
        <v>19</v>
      </c>
      <c r="J228" s="51">
        <v>28000</v>
      </c>
      <c r="K228" s="51">
        <f t="shared" si="21"/>
        <v>28000</v>
      </c>
      <c r="L228" s="51">
        <f t="shared" si="18"/>
        <v>532000</v>
      </c>
      <c r="M228" s="39">
        <v>10</v>
      </c>
      <c r="N228" s="51">
        <f t="shared" si="19"/>
        <v>53200</v>
      </c>
      <c r="O228" s="51">
        <f t="shared" si="20"/>
        <v>478800</v>
      </c>
      <c r="P228" s="39" t="s">
        <v>44</v>
      </c>
      <c r="Q228" s="52" t="s">
        <v>57</v>
      </c>
      <c r="R228" s="27" t="s">
        <v>42</v>
      </c>
      <c r="S228" s="27" t="s">
        <v>66</v>
      </c>
    </row>
    <row r="229" spans="1:19" x14ac:dyDescent="0.3">
      <c r="A229" s="44" t="s">
        <v>569</v>
      </c>
      <c r="B229" s="45">
        <v>45580</v>
      </c>
      <c r="C229" s="38" t="s">
        <v>570</v>
      </c>
      <c r="D229" s="38" t="s">
        <v>109</v>
      </c>
      <c r="E229" s="38" t="s">
        <v>40</v>
      </c>
      <c r="F229" s="38" t="s">
        <v>57</v>
      </c>
      <c r="G229" s="38" t="s">
        <v>42</v>
      </c>
      <c r="H229" s="38" t="s">
        <v>66</v>
      </c>
      <c r="I229" s="46">
        <v>15</v>
      </c>
      <c r="J229" s="47">
        <v>28000</v>
      </c>
      <c r="K229" s="47">
        <f t="shared" si="21"/>
        <v>28000</v>
      </c>
      <c r="L229" s="47">
        <f t="shared" si="18"/>
        <v>420000</v>
      </c>
      <c r="M229" s="38">
        <v>5</v>
      </c>
      <c r="N229" s="47">
        <f t="shared" si="19"/>
        <v>21000</v>
      </c>
      <c r="O229" s="47">
        <f t="shared" si="20"/>
        <v>399000</v>
      </c>
      <c r="P229" s="38" t="s">
        <v>51</v>
      </c>
      <c r="Q229" s="43" t="s">
        <v>57</v>
      </c>
      <c r="R229" s="27" t="s">
        <v>42</v>
      </c>
      <c r="S229" s="27" t="s">
        <v>66</v>
      </c>
    </row>
    <row r="230" spans="1:19" x14ac:dyDescent="0.3">
      <c r="A230" s="48" t="s">
        <v>571</v>
      </c>
      <c r="B230" s="49">
        <v>45451</v>
      </c>
      <c r="C230" s="39" t="s">
        <v>572</v>
      </c>
      <c r="D230" s="39" t="s">
        <v>118</v>
      </c>
      <c r="E230" s="39" t="s">
        <v>40</v>
      </c>
      <c r="F230" s="39" t="s">
        <v>92</v>
      </c>
      <c r="G230" s="39" t="s">
        <v>77</v>
      </c>
      <c r="H230" s="39" t="s">
        <v>66</v>
      </c>
      <c r="I230" s="50">
        <v>3</v>
      </c>
      <c r="J230" s="51">
        <v>450000</v>
      </c>
      <c r="K230" s="51">
        <f t="shared" si="21"/>
        <v>450000</v>
      </c>
      <c r="L230" s="51">
        <f t="shared" si="18"/>
        <v>1350000</v>
      </c>
      <c r="M230" s="39">
        <v>0</v>
      </c>
      <c r="N230" s="51">
        <f t="shared" si="19"/>
        <v>0</v>
      </c>
      <c r="O230" s="51">
        <f t="shared" si="20"/>
        <v>1350000</v>
      </c>
      <c r="P230" s="39" t="s">
        <v>86</v>
      </c>
      <c r="Q230" s="52" t="s">
        <v>92</v>
      </c>
      <c r="R230" s="27" t="s">
        <v>77</v>
      </c>
      <c r="S230" s="27" t="s">
        <v>66</v>
      </c>
    </row>
    <row r="231" spans="1:19" x14ac:dyDescent="0.3">
      <c r="A231" s="44" t="s">
        <v>573</v>
      </c>
      <c r="B231" s="45">
        <v>45528</v>
      </c>
      <c r="C231" s="38" t="s">
        <v>574</v>
      </c>
      <c r="D231" s="38" t="s">
        <v>81</v>
      </c>
      <c r="E231" s="38" t="s">
        <v>40</v>
      </c>
      <c r="F231" s="38" t="s">
        <v>99</v>
      </c>
      <c r="G231" s="38" t="s">
        <v>77</v>
      </c>
      <c r="H231" s="38" t="s">
        <v>71</v>
      </c>
      <c r="I231" s="46">
        <v>2</v>
      </c>
      <c r="J231" s="47">
        <v>95000</v>
      </c>
      <c r="K231" s="47">
        <f t="shared" si="21"/>
        <v>95000</v>
      </c>
      <c r="L231" s="47">
        <f t="shared" si="18"/>
        <v>190000</v>
      </c>
      <c r="M231" s="38">
        <v>5</v>
      </c>
      <c r="N231" s="47">
        <f t="shared" si="19"/>
        <v>9500</v>
      </c>
      <c r="O231" s="47">
        <f t="shared" si="20"/>
        <v>180500</v>
      </c>
      <c r="P231" s="38" t="s">
        <v>51</v>
      </c>
      <c r="Q231" s="43" t="s">
        <v>99</v>
      </c>
      <c r="R231" s="27" t="s">
        <v>77</v>
      </c>
      <c r="S231" s="27" t="s">
        <v>71</v>
      </c>
    </row>
    <row r="232" spans="1:19" x14ac:dyDescent="0.3">
      <c r="A232" s="48" t="s">
        <v>575</v>
      </c>
      <c r="B232" s="49">
        <v>45467</v>
      </c>
      <c r="C232" s="39" t="s">
        <v>576</v>
      </c>
      <c r="D232" s="39" t="s">
        <v>39</v>
      </c>
      <c r="E232" s="39" t="s">
        <v>40</v>
      </c>
      <c r="F232" s="39" t="s">
        <v>76</v>
      </c>
      <c r="G232" s="39" t="s">
        <v>77</v>
      </c>
      <c r="H232" s="39" t="s">
        <v>71</v>
      </c>
      <c r="I232" s="50">
        <v>20</v>
      </c>
      <c r="J232" s="51">
        <v>180000</v>
      </c>
      <c r="K232" s="51">
        <f t="shared" si="21"/>
        <v>180000</v>
      </c>
      <c r="L232" s="51">
        <f t="shared" si="18"/>
        <v>3600000</v>
      </c>
      <c r="M232" s="39">
        <v>5</v>
      </c>
      <c r="N232" s="51">
        <f t="shared" si="19"/>
        <v>180000</v>
      </c>
      <c r="O232" s="51">
        <f t="shared" si="20"/>
        <v>3420000</v>
      </c>
      <c r="P232" s="39" t="s">
        <v>51</v>
      </c>
      <c r="Q232" s="52" t="s">
        <v>76</v>
      </c>
      <c r="R232" s="27" t="s">
        <v>77</v>
      </c>
      <c r="S232" s="27" t="s">
        <v>71</v>
      </c>
    </row>
    <row r="233" spans="1:19" x14ac:dyDescent="0.3">
      <c r="A233" s="44" t="s">
        <v>577</v>
      </c>
      <c r="B233" s="45">
        <v>45359</v>
      </c>
      <c r="C233" s="38" t="s">
        <v>578</v>
      </c>
      <c r="D233" s="38" t="s">
        <v>48</v>
      </c>
      <c r="E233" s="38" t="s">
        <v>40</v>
      </c>
      <c r="F233" s="38" t="s">
        <v>82</v>
      </c>
      <c r="G233" s="38" t="s">
        <v>77</v>
      </c>
      <c r="H233" s="38" t="s">
        <v>66</v>
      </c>
      <c r="I233" s="46">
        <v>20</v>
      </c>
      <c r="J233" s="47">
        <v>220000</v>
      </c>
      <c r="K233" s="47">
        <f t="shared" si="21"/>
        <v>220000</v>
      </c>
      <c r="L233" s="47">
        <f t="shared" si="18"/>
        <v>4400000</v>
      </c>
      <c r="M233" s="38">
        <v>15</v>
      </c>
      <c r="N233" s="47">
        <f t="shared" si="19"/>
        <v>660000</v>
      </c>
      <c r="O233" s="47">
        <f t="shared" si="20"/>
        <v>3740000</v>
      </c>
      <c r="P233" s="38" t="s">
        <v>51</v>
      </c>
      <c r="Q233" s="43" t="s">
        <v>82</v>
      </c>
      <c r="R233" s="27" t="s">
        <v>77</v>
      </c>
      <c r="S233" s="27" t="s">
        <v>66</v>
      </c>
    </row>
    <row r="234" spans="1:19" x14ac:dyDescent="0.3">
      <c r="A234" s="48" t="s">
        <v>579</v>
      </c>
      <c r="B234" s="49">
        <v>45309</v>
      </c>
      <c r="C234" s="39" t="s">
        <v>580</v>
      </c>
      <c r="D234" s="39" t="s">
        <v>39</v>
      </c>
      <c r="E234" s="39" t="s">
        <v>70</v>
      </c>
      <c r="F234" s="39" t="s">
        <v>92</v>
      </c>
      <c r="G234" s="39" t="s">
        <v>77</v>
      </c>
      <c r="H234" s="39" t="s">
        <v>66</v>
      </c>
      <c r="I234" s="50">
        <v>16</v>
      </c>
      <c r="J234" s="51">
        <v>450000</v>
      </c>
      <c r="K234" s="51">
        <f t="shared" si="21"/>
        <v>450000</v>
      </c>
      <c r="L234" s="51">
        <f t="shared" si="18"/>
        <v>7200000</v>
      </c>
      <c r="M234" s="39">
        <v>0</v>
      </c>
      <c r="N234" s="51">
        <f t="shared" si="19"/>
        <v>0</v>
      </c>
      <c r="O234" s="51">
        <f t="shared" si="20"/>
        <v>7200000</v>
      </c>
      <c r="P234" s="39" t="s">
        <v>51</v>
      </c>
      <c r="Q234" s="52" t="s">
        <v>92</v>
      </c>
      <c r="R234" s="27" t="s">
        <v>77</v>
      </c>
      <c r="S234" s="27" t="s">
        <v>66</v>
      </c>
    </row>
    <row r="235" spans="1:19" x14ac:dyDescent="0.3">
      <c r="A235" s="44" t="s">
        <v>581</v>
      </c>
      <c r="B235" s="45">
        <v>45452</v>
      </c>
      <c r="C235" s="38" t="s">
        <v>582</v>
      </c>
      <c r="D235" s="38" t="s">
        <v>65</v>
      </c>
      <c r="E235" s="38" t="s">
        <v>56</v>
      </c>
      <c r="F235" s="38" t="s">
        <v>41</v>
      </c>
      <c r="G235" s="38" t="s">
        <v>42</v>
      </c>
      <c r="H235" s="38" t="s">
        <v>130</v>
      </c>
      <c r="I235" s="46">
        <v>10</v>
      </c>
      <c r="J235" s="47">
        <v>35000</v>
      </c>
      <c r="K235" s="47">
        <f t="shared" si="21"/>
        <v>35000</v>
      </c>
      <c r="L235" s="47">
        <f t="shared" si="18"/>
        <v>350000</v>
      </c>
      <c r="M235" s="38">
        <v>0</v>
      </c>
      <c r="N235" s="47">
        <f t="shared" si="19"/>
        <v>0</v>
      </c>
      <c r="O235" s="47">
        <f t="shared" si="20"/>
        <v>350000</v>
      </c>
      <c r="P235" s="38" t="s">
        <v>51</v>
      </c>
      <c r="Q235" s="43" t="s">
        <v>41</v>
      </c>
      <c r="R235" s="27" t="s">
        <v>42</v>
      </c>
      <c r="S235" s="27" t="s">
        <v>130</v>
      </c>
    </row>
    <row r="236" spans="1:19" x14ac:dyDescent="0.3">
      <c r="A236" s="44" t="s">
        <v>583</v>
      </c>
      <c r="B236" s="45">
        <v>45611</v>
      </c>
      <c r="C236" s="38" t="s">
        <v>584</v>
      </c>
      <c r="D236" s="38" t="s">
        <v>48</v>
      </c>
      <c r="E236" s="38" t="s">
        <v>56</v>
      </c>
      <c r="F236" s="38" t="s">
        <v>99</v>
      </c>
      <c r="G236" s="38" t="s">
        <v>77</v>
      </c>
      <c r="H236" s="38" t="s">
        <v>66</v>
      </c>
      <c r="I236" s="46">
        <v>20</v>
      </c>
      <c r="J236" s="47">
        <v>95000</v>
      </c>
      <c r="K236" s="47">
        <f t="shared" si="21"/>
        <v>95000</v>
      </c>
      <c r="L236" s="47">
        <f t="shared" si="18"/>
        <v>1900000</v>
      </c>
      <c r="M236" s="38">
        <v>0</v>
      </c>
      <c r="N236" s="47">
        <f t="shared" si="19"/>
        <v>0</v>
      </c>
      <c r="O236" s="47">
        <f t="shared" si="20"/>
        <v>1900000</v>
      </c>
      <c r="P236" s="38" t="s">
        <v>51</v>
      </c>
      <c r="Q236" s="43" t="s">
        <v>99</v>
      </c>
      <c r="R236" s="27" t="s">
        <v>77</v>
      </c>
      <c r="S236" s="27" t="s">
        <v>66</v>
      </c>
    </row>
    <row r="237" spans="1:19" x14ac:dyDescent="0.3">
      <c r="A237" s="44" t="s">
        <v>585</v>
      </c>
      <c r="B237" s="45">
        <v>45447</v>
      </c>
      <c r="C237" s="38" t="s">
        <v>586</v>
      </c>
      <c r="D237" s="38" t="s">
        <v>75</v>
      </c>
      <c r="E237" s="38" t="s">
        <v>56</v>
      </c>
      <c r="F237" s="38" t="s">
        <v>99</v>
      </c>
      <c r="G237" s="38" t="s">
        <v>77</v>
      </c>
      <c r="H237" s="38" t="s">
        <v>71</v>
      </c>
      <c r="I237" s="46">
        <v>8</v>
      </c>
      <c r="J237" s="47">
        <v>95000</v>
      </c>
      <c r="K237" s="47">
        <f t="shared" si="21"/>
        <v>95000</v>
      </c>
      <c r="L237" s="47">
        <f t="shared" si="18"/>
        <v>760000</v>
      </c>
      <c r="M237" s="38">
        <v>0</v>
      </c>
      <c r="N237" s="47">
        <f t="shared" si="19"/>
        <v>0</v>
      </c>
      <c r="O237" s="47">
        <f t="shared" si="20"/>
        <v>760000</v>
      </c>
      <c r="P237" s="38" t="s">
        <v>86</v>
      </c>
      <c r="Q237" s="43" t="s">
        <v>99</v>
      </c>
      <c r="R237" s="27" t="s">
        <v>77</v>
      </c>
      <c r="S237" s="27" t="s">
        <v>71</v>
      </c>
    </row>
    <row r="238" spans="1:19" x14ac:dyDescent="0.3">
      <c r="A238" s="48" t="s">
        <v>587</v>
      </c>
      <c r="B238" s="49">
        <v>45606</v>
      </c>
      <c r="C238" s="39" t="s">
        <v>588</v>
      </c>
      <c r="D238" s="39" t="s">
        <v>48</v>
      </c>
      <c r="E238" s="39" t="s">
        <v>70</v>
      </c>
      <c r="F238" s="39" t="s">
        <v>99</v>
      </c>
      <c r="G238" s="39" t="s">
        <v>77</v>
      </c>
      <c r="H238" s="39" t="s">
        <v>71</v>
      </c>
      <c r="I238" s="50">
        <v>16</v>
      </c>
      <c r="J238" s="51">
        <v>95000</v>
      </c>
      <c r="K238" s="51">
        <f t="shared" si="21"/>
        <v>95000</v>
      </c>
      <c r="L238" s="51">
        <f t="shared" si="18"/>
        <v>1520000</v>
      </c>
      <c r="M238" s="39">
        <v>5</v>
      </c>
      <c r="N238" s="51">
        <f t="shared" si="19"/>
        <v>76000</v>
      </c>
      <c r="O238" s="51">
        <f t="shared" si="20"/>
        <v>1444000</v>
      </c>
      <c r="P238" s="39" t="s">
        <v>51</v>
      </c>
      <c r="Q238" s="52" t="s">
        <v>99</v>
      </c>
      <c r="R238" s="27" t="s">
        <v>77</v>
      </c>
      <c r="S238" s="27" t="s">
        <v>71</v>
      </c>
    </row>
    <row r="239" spans="1:19" x14ac:dyDescent="0.3">
      <c r="A239" s="44" t="s">
        <v>589</v>
      </c>
      <c r="B239" s="45">
        <v>45606</v>
      </c>
      <c r="C239" s="38" t="s">
        <v>590</v>
      </c>
      <c r="D239" s="38" t="s">
        <v>39</v>
      </c>
      <c r="E239" s="38" t="s">
        <v>70</v>
      </c>
      <c r="F239" s="38" t="s">
        <v>57</v>
      </c>
      <c r="G239" s="38" t="s">
        <v>42</v>
      </c>
      <c r="H239" s="38" t="s">
        <v>71</v>
      </c>
      <c r="I239" s="46">
        <v>18</v>
      </c>
      <c r="J239" s="47">
        <v>28000</v>
      </c>
      <c r="K239" s="47">
        <f t="shared" si="21"/>
        <v>28000</v>
      </c>
      <c r="L239" s="47">
        <f t="shared" si="18"/>
        <v>504000</v>
      </c>
      <c r="M239" s="38">
        <v>0</v>
      </c>
      <c r="N239" s="47">
        <f t="shared" si="19"/>
        <v>0</v>
      </c>
      <c r="O239" s="47">
        <f t="shared" si="20"/>
        <v>504000</v>
      </c>
      <c r="P239" s="38" t="s">
        <v>51</v>
      </c>
      <c r="Q239" s="43" t="s">
        <v>57</v>
      </c>
      <c r="R239" s="27" t="s">
        <v>42</v>
      </c>
      <c r="S239" s="27" t="s">
        <v>71</v>
      </c>
    </row>
    <row r="240" spans="1:19" x14ac:dyDescent="0.3">
      <c r="A240" s="48" t="s">
        <v>591</v>
      </c>
      <c r="B240" s="49">
        <v>45305</v>
      </c>
      <c r="C240" s="39" t="s">
        <v>592</v>
      </c>
      <c r="D240" s="39" t="s">
        <v>81</v>
      </c>
      <c r="E240" s="39" t="s">
        <v>40</v>
      </c>
      <c r="F240" s="39" t="s">
        <v>57</v>
      </c>
      <c r="G240" s="39" t="s">
        <v>42</v>
      </c>
      <c r="H240" s="39" t="s">
        <v>71</v>
      </c>
      <c r="I240" s="50">
        <v>19</v>
      </c>
      <c r="J240" s="51">
        <v>28000</v>
      </c>
      <c r="K240" s="51">
        <f t="shared" si="21"/>
        <v>28000</v>
      </c>
      <c r="L240" s="51">
        <f t="shared" si="18"/>
        <v>532000</v>
      </c>
      <c r="M240" s="39">
        <v>0</v>
      </c>
      <c r="N240" s="51">
        <f t="shared" si="19"/>
        <v>0</v>
      </c>
      <c r="O240" s="51">
        <f t="shared" si="20"/>
        <v>532000</v>
      </c>
      <c r="P240" s="39" t="s">
        <v>44</v>
      </c>
      <c r="Q240" s="52" t="s">
        <v>57</v>
      </c>
      <c r="R240" s="27" t="s">
        <v>42</v>
      </c>
      <c r="S240" s="27" t="s">
        <v>71</v>
      </c>
    </row>
    <row r="241" spans="1:19" x14ac:dyDescent="0.3">
      <c r="A241" s="44" t="s">
        <v>593</v>
      </c>
      <c r="B241" s="45">
        <v>45532</v>
      </c>
      <c r="C241" s="38" t="s">
        <v>594</v>
      </c>
      <c r="D241" s="38" t="s">
        <v>39</v>
      </c>
      <c r="E241" s="38" t="s">
        <v>49</v>
      </c>
      <c r="F241" s="38" t="s">
        <v>61</v>
      </c>
      <c r="G241" s="38" t="s">
        <v>42</v>
      </c>
      <c r="H241" s="38" t="s">
        <v>71</v>
      </c>
      <c r="I241" s="46">
        <v>17</v>
      </c>
      <c r="J241" s="47">
        <v>22000</v>
      </c>
      <c r="K241" s="47">
        <f t="shared" si="21"/>
        <v>22000</v>
      </c>
      <c r="L241" s="47">
        <f t="shared" si="18"/>
        <v>374000</v>
      </c>
      <c r="M241" s="38">
        <v>20</v>
      </c>
      <c r="N241" s="47">
        <f t="shared" si="19"/>
        <v>74800</v>
      </c>
      <c r="O241" s="47">
        <f t="shared" si="20"/>
        <v>299200</v>
      </c>
      <c r="P241" s="38" t="s">
        <v>51</v>
      </c>
      <c r="Q241" s="43" t="s">
        <v>61</v>
      </c>
      <c r="R241" s="27" t="s">
        <v>42</v>
      </c>
      <c r="S241" s="27" t="s">
        <v>71</v>
      </c>
    </row>
    <row r="242" spans="1:19" x14ac:dyDescent="0.3">
      <c r="A242" s="48" t="s">
        <v>595</v>
      </c>
      <c r="B242" s="49">
        <v>45491</v>
      </c>
      <c r="C242" s="39" t="s">
        <v>596</v>
      </c>
      <c r="D242" s="39" t="s">
        <v>154</v>
      </c>
      <c r="E242" s="39" t="s">
        <v>49</v>
      </c>
      <c r="F242" s="39" t="s">
        <v>57</v>
      </c>
      <c r="G242" s="39" t="s">
        <v>42</v>
      </c>
      <c r="H242" s="39" t="s">
        <v>43</v>
      </c>
      <c r="I242" s="50">
        <v>13</v>
      </c>
      <c r="J242" s="51">
        <v>28000</v>
      </c>
      <c r="K242" s="51">
        <f t="shared" si="21"/>
        <v>28000</v>
      </c>
      <c r="L242" s="51">
        <f t="shared" si="18"/>
        <v>364000</v>
      </c>
      <c r="M242" s="39">
        <v>20</v>
      </c>
      <c r="N242" s="51">
        <f t="shared" si="19"/>
        <v>72800</v>
      </c>
      <c r="O242" s="51">
        <f t="shared" si="20"/>
        <v>291200</v>
      </c>
      <c r="P242" s="39" t="s">
        <v>131</v>
      </c>
      <c r="Q242" s="52" t="s">
        <v>57</v>
      </c>
      <c r="R242" s="27" t="s">
        <v>42</v>
      </c>
      <c r="S242" s="27" t="s">
        <v>43</v>
      </c>
    </row>
    <row r="243" spans="1:19" x14ac:dyDescent="0.3">
      <c r="A243" s="44" t="s">
        <v>597</v>
      </c>
      <c r="B243" s="45">
        <v>45647</v>
      </c>
      <c r="C243" s="38" t="s">
        <v>594</v>
      </c>
      <c r="D243" s="38" t="s">
        <v>154</v>
      </c>
      <c r="E243" s="38" t="s">
        <v>40</v>
      </c>
      <c r="F243" s="38" t="s">
        <v>598</v>
      </c>
      <c r="G243" s="38" t="s">
        <v>77</v>
      </c>
      <c r="H243" s="39" t="s">
        <v>981</v>
      </c>
      <c r="I243" s="46">
        <v>9</v>
      </c>
      <c r="J243" s="47">
        <v>0</v>
      </c>
      <c r="K243" s="47">
        <v>450000</v>
      </c>
      <c r="L243" s="47">
        <f t="shared" si="18"/>
        <v>4050000</v>
      </c>
      <c r="M243" s="38">
        <v>0</v>
      </c>
      <c r="N243" s="47">
        <f t="shared" si="19"/>
        <v>0</v>
      </c>
      <c r="O243" s="47">
        <f t="shared" si="20"/>
        <v>4050000</v>
      </c>
      <c r="P243" s="38" t="s">
        <v>86</v>
      </c>
      <c r="Q243" s="43" t="s">
        <v>598</v>
      </c>
      <c r="R243" s="27" t="s">
        <v>77</v>
      </c>
      <c r="S243" s="27" t="s">
        <v>982</v>
      </c>
    </row>
    <row r="244" spans="1:19" x14ac:dyDescent="0.3">
      <c r="A244" s="48" t="s">
        <v>600</v>
      </c>
      <c r="B244" s="49">
        <v>45608</v>
      </c>
      <c r="C244" s="39" t="s">
        <v>601</v>
      </c>
      <c r="D244" s="39" t="s">
        <v>118</v>
      </c>
      <c r="E244" s="39" t="s">
        <v>49</v>
      </c>
      <c r="F244" s="39" t="s">
        <v>99</v>
      </c>
      <c r="G244" s="39" t="s">
        <v>77</v>
      </c>
      <c r="H244" s="39" t="s">
        <v>71</v>
      </c>
      <c r="I244" s="50">
        <v>8</v>
      </c>
      <c r="J244" s="51">
        <v>95000</v>
      </c>
      <c r="K244" s="51">
        <f t="shared" ref="K244:K275" si="22">J244</f>
        <v>95000</v>
      </c>
      <c r="L244" s="51">
        <f t="shared" si="18"/>
        <v>760000</v>
      </c>
      <c r="M244" s="39">
        <v>15</v>
      </c>
      <c r="N244" s="51">
        <f t="shared" si="19"/>
        <v>114000</v>
      </c>
      <c r="O244" s="51">
        <f t="shared" si="20"/>
        <v>646000</v>
      </c>
      <c r="P244" s="39" t="s">
        <v>51</v>
      </c>
      <c r="Q244" s="52" t="s">
        <v>99</v>
      </c>
      <c r="R244" s="27" t="s">
        <v>77</v>
      </c>
      <c r="S244" s="27" t="s">
        <v>71</v>
      </c>
    </row>
    <row r="245" spans="1:19" x14ac:dyDescent="0.3">
      <c r="A245" s="44" t="s">
        <v>602</v>
      </c>
      <c r="B245" s="45">
        <v>45423</v>
      </c>
      <c r="C245" s="38" t="s">
        <v>603</v>
      </c>
      <c r="D245" s="38" t="s">
        <v>118</v>
      </c>
      <c r="E245" s="38" t="s">
        <v>56</v>
      </c>
      <c r="F245" s="38" t="s">
        <v>82</v>
      </c>
      <c r="G245" s="38" t="s">
        <v>77</v>
      </c>
      <c r="H245" s="38" t="s">
        <v>66</v>
      </c>
      <c r="I245" s="46">
        <v>7</v>
      </c>
      <c r="J245" s="47">
        <v>220000</v>
      </c>
      <c r="K245" s="47">
        <f t="shared" si="22"/>
        <v>220000</v>
      </c>
      <c r="L245" s="47">
        <f t="shared" si="18"/>
        <v>1540000</v>
      </c>
      <c r="M245" s="38">
        <v>5</v>
      </c>
      <c r="N245" s="47">
        <f t="shared" si="19"/>
        <v>77000</v>
      </c>
      <c r="O245" s="47">
        <f t="shared" si="20"/>
        <v>1463000</v>
      </c>
      <c r="P245" s="38" t="s">
        <v>51</v>
      </c>
      <c r="Q245" s="43" t="s">
        <v>82</v>
      </c>
      <c r="R245" s="27" t="s">
        <v>77</v>
      </c>
      <c r="S245" s="27" t="s">
        <v>66</v>
      </c>
    </row>
    <row r="246" spans="1:19" x14ac:dyDescent="0.3">
      <c r="A246" s="48" t="s">
        <v>604</v>
      </c>
      <c r="B246" s="49">
        <v>45316</v>
      </c>
      <c r="C246" s="39" t="s">
        <v>605</v>
      </c>
      <c r="D246" s="39" t="s">
        <v>55</v>
      </c>
      <c r="E246" s="39" t="s">
        <v>49</v>
      </c>
      <c r="F246" s="39" t="s">
        <v>92</v>
      </c>
      <c r="G246" s="39" t="s">
        <v>77</v>
      </c>
      <c r="H246" s="39" t="s">
        <v>66</v>
      </c>
      <c r="I246" s="50">
        <v>9</v>
      </c>
      <c r="J246" s="51">
        <v>450000</v>
      </c>
      <c r="K246" s="51">
        <f t="shared" si="22"/>
        <v>450000</v>
      </c>
      <c r="L246" s="51">
        <f t="shared" si="18"/>
        <v>4050000</v>
      </c>
      <c r="M246" s="39">
        <v>10</v>
      </c>
      <c r="N246" s="51">
        <f t="shared" si="19"/>
        <v>405000</v>
      </c>
      <c r="O246" s="51">
        <f t="shared" si="20"/>
        <v>3645000</v>
      </c>
      <c r="P246" s="39" t="s">
        <v>51</v>
      </c>
      <c r="Q246" s="52" t="s">
        <v>92</v>
      </c>
      <c r="R246" s="27" t="s">
        <v>77</v>
      </c>
      <c r="S246" s="27" t="s">
        <v>66</v>
      </c>
    </row>
    <row r="247" spans="1:19" x14ac:dyDescent="0.3">
      <c r="A247" s="44" t="s">
        <v>606</v>
      </c>
      <c r="B247" s="45">
        <v>45559</v>
      </c>
      <c r="C247" s="38" t="s">
        <v>607</v>
      </c>
      <c r="D247" s="38" t="s">
        <v>109</v>
      </c>
      <c r="E247" s="38" t="s">
        <v>56</v>
      </c>
      <c r="F247" s="38" t="s">
        <v>92</v>
      </c>
      <c r="G247" s="38" t="s">
        <v>77</v>
      </c>
      <c r="H247" s="38" t="s">
        <v>71</v>
      </c>
      <c r="I247" s="46">
        <v>3</v>
      </c>
      <c r="J247" s="47">
        <v>450000</v>
      </c>
      <c r="K247" s="47">
        <f t="shared" si="22"/>
        <v>450000</v>
      </c>
      <c r="L247" s="47">
        <f t="shared" si="18"/>
        <v>1350000</v>
      </c>
      <c r="M247" s="38">
        <v>0</v>
      </c>
      <c r="N247" s="47">
        <f t="shared" si="19"/>
        <v>0</v>
      </c>
      <c r="O247" s="47">
        <f t="shared" si="20"/>
        <v>1350000</v>
      </c>
      <c r="P247" s="38" t="s">
        <v>51</v>
      </c>
      <c r="Q247" s="43" t="s">
        <v>92</v>
      </c>
      <c r="R247" s="27" t="s">
        <v>77</v>
      </c>
      <c r="S247" s="27" t="s">
        <v>71</v>
      </c>
    </row>
    <row r="248" spans="1:19" x14ac:dyDescent="0.3">
      <c r="A248" s="48" t="s">
        <v>608</v>
      </c>
      <c r="B248" s="49">
        <v>45414</v>
      </c>
      <c r="C248" s="39" t="s">
        <v>609</v>
      </c>
      <c r="D248" s="39" t="s">
        <v>39</v>
      </c>
      <c r="E248" s="39" t="s">
        <v>49</v>
      </c>
      <c r="F248" s="39" t="s">
        <v>57</v>
      </c>
      <c r="G248" s="39" t="s">
        <v>42</v>
      </c>
      <c r="H248" s="39" t="s">
        <v>71</v>
      </c>
      <c r="I248" s="50">
        <v>19</v>
      </c>
      <c r="J248" s="51">
        <v>28000</v>
      </c>
      <c r="K248" s="51">
        <f t="shared" si="22"/>
        <v>28000</v>
      </c>
      <c r="L248" s="51">
        <f t="shared" si="18"/>
        <v>532000</v>
      </c>
      <c r="M248" s="39">
        <v>0</v>
      </c>
      <c r="N248" s="51">
        <f t="shared" si="19"/>
        <v>0</v>
      </c>
      <c r="O248" s="51">
        <f t="shared" si="20"/>
        <v>532000</v>
      </c>
      <c r="P248" s="39" t="s">
        <v>51</v>
      </c>
      <c r="Q248" s="52" t="s">
        <v>57</v>
      </c>
      <c r="R248" s="27" t="s">
        <v>42</v>
      </c>
      <c r="S248" s="27" t="s">
        <v>71</v>
      </c>
    </row>
    <row r="249" spans="1:19" x14ac:dyDescent="0.3">
      <c r="A249" s="44" t="s">
        <v>610</v>
      </c>
      <c r="B249" s="45">
        <v>45328</v>
      </c>
      <c r="C249" s="38" t="s">
        <v>611</v>
      </c>
      <c r="D249" s="38" t="s">
        <v>109</v>
      </c>
      <c r="E249" s="38" t="s">
        <v>49</v>
      </c>
      <c r="F249" s="38" t="s">
        <v>57</v>
      </c>
      <c r="G249" s="38" t="s">
        <v>42</v>
      </c>
      <c r="H249" s="38" t="s">
        <v>43</v>
      </c>
      <c r="I249" s="46">
        <v>13</v>
      </c>
      <c r="J249" s="47">
        <v>28000</v>
      </c>
      <c r="K249" s="47">
        <f t="shared" si="22"/>
        <v>28000</v>
      </c>
      <c r="L249" s="47">
        <f t="shared" si="18"/>
        <v>364000</v>
      </c>
      <c r="M249" s="38">
        <v>15</v>
      </c>
      <c r="N249" s="47">
        <f t="shared" si="19"/>
        <v>54600</v>
      </c>
      <c r="O249" s="47">
        <f t="shared" si="20"/>
        <v>309400</v>
      </c>
      <c r="P249" s="38" t="s">
        <v>51</v>
      </c>
      <c r="Q249" s="43" t="s">
        <v>57</v>
      </c>
      <c r="R249" s="27" t="s">
        <v>42</v>
      </c>
      <c r="S249" s="27" t="s">
        <v>43</v>
      </c>
    </row>
    <row r="250" spans="1:19" x14ac:dyDescent="0.3">
      <c r="A250" s="48" t="s">
        <v>612</v>
      </c>
      <c r="B250" s="49">
        <v>45470</v>
      </c>
      <c r="C250" s="39" t="s">
        <v>613</v>
      </c>
      <c r="D250" s="39" t="s">
        <v>154</v>
      </c>
      <c r="E250" s="39" t="s">
        <v>49</v>
      </c>
      <c r="F250" s="39" t="s">
        <v>41</v>
      </c>
      <c r="G250" s="39" t="s">
        <v>42</v>
      </c>
      <c r="H250" s="39" t="s">
        <v>66</v>
      </c>
      <c r="I250" s="50">
        <v>1</v>
      </c>
      <c r="J250" s="51">
        <v>35000</v>
      </c>
      <c r="K250" s="51">
        <f t="shared" si="22"/>
        <v>35000</v>
      </c>
      <c r="L250" s="51">
        <f t="shared" si="18"/>
        <v>35000</v>
      </c>
      <c r="M250" s="39">
        <v>5</v>
      </c>
      <c r="N250" s="51">
        <f t="shared" si="19"/>
        <v>1750</v>
      </c>
      <c r="O250" s="51">
        <f t="shared" si="20"/>
        <v>33250</v>
      </c>
      <c r="P250" s="39" t="s">
        <v>131</v>
      </c>
      <c r="Q250" s="52" t="s">
        <v>41</v>
      </c>
      <c r="R250" s="27" t="s">
        <v>42</v>
      </c>
      <c r="S250" s="27" t="s">
        <v>66</v>
      </c>
    </row>
    <row r="251" spans="1:19" x14ac:dyDescent="0.3">
      <c r="A251" s="44" t="s">
        <v>614</v>
      </c>
      <c r="B251" s="45">
        <v>45480</v>
      </c>
      <c r="C251" s="38" t="s">
        <v>615</v>
      </c>
      <c r="D251" s="38" t="s">
        <v>55</v>
      </c>
      <c r="E251" s="38" t="s">
        <v>49</v>
      </c>
      <c r="F251" s="38" t="s">
        <v>50</v>
      </c>
      <c r="G251" s="38" t="s">
        <v>42</v>
      </c>
      <c r="H251" s="38" t="s">
        <v>66</v>
      </c>
      <c r="I251" s="46">
        <v>15</v>
      </c>
      <c r="J251" s="47">
        <v>18000</v>
      </c>
      <c r="K251" s="47">
        <f t="shared" si="22"/>
        <v>18000</v>
      </c>
      <c r="L251" s="47">
        <f t="shared" si="18"/>
        <v>270000</v>
      </c>
      <c r="M251" s="38">
        <v>0</v>
      </c>
      <c r="N251" s="47">
        <f t="shared" si="19"/>
        <v>0</v>
      </c>
      <c r="O251" s="47">
        <f t="shared" si="20"/>
        <v>270000</v>
      </c>
      <c r="P251" s="38" t="s">
        <v>51</v>
      </c>
      <c r="Q251" s="43" t="s">
        <v>50</v>
      </c>
      <c r="R251" s="27" t="s">
        <v>42</v>
      </c>
      <c r="S251" s="27" t="s">
        <v>66</v>
      </c>
    </row>
    <row r="252" spans="1:19" x14ac:dyDescent="0.3">
      <c r="A252" s="48" t="s">
        <v>616</v>
      </c>
      <c r="B252" s="49">
        <v>45419</v>
      </c>
      <c r="C252" s="39" t="s">
        <v>617</v>
      </c>
      <c r="D252" s="39" t="s">
        <v>39</v>
      </c>
      <c r="E252" s="39" t="s">
        <v>40</v>
      </c>
      <c r="F252" s="39" t="s">
        <v>99</v>
      </c>
      <c r="G252" s="39" t="s">
        <v>77</v>
      </c>
      <c r="H252" s="39" t="s">
        <v>71</v>
      </c>
      <c r="I252" s="50">
        <v>15</v>
      </c>
      <c r="J252" s="51">
        <v>95000</v>
      </c>
      <c r="K252" s="51">
        <f t="shared" si="22"/>
        <v>95000</v>
      </c>
      <c r="L252" s="51">
        <f t="shared" si="18"/>
        <v>1425000</v>
      </c>
      <c r="M252" s="39">
        <v>20</v>
      </c>
      <c r="N252" s="51">
        <f t="shared" si="19"/>
        <v>285000</v>
      </c>
      <c r="O252" s="51">
        <f t="shared" si="20"/>
        <v>1140000</v>
      </c>
      <c r="P252" s="39" t="s">
        <v>131</v>
      </c>
      <c r="Q252" s="52" t="s">
        <v>99</v>
      </c>
      <c r="R252" s="27" t="s">
        <v>77</v>
      </c>
      <c r="S252" s="27" t="s">
        <v>71</v>
      </c>
    </row>
    <row r="253" spans="1:19" x14ac:dyDescent="0.3">
      <c r="A253" s="44" t="s">
        <v>618</v>
      </c>
      <c r="B253" s="45">
        <v>45362</v>
      </c>
      <c r="C253" s="38" t="s">
        <v>619</v>
      </c>
      <c r="D253" s="38" t="s">
        <v>118</v>
      </c>
      <c r="E253" s="38" t="s">
        <v>49</v>
      </c>
      <c r="F253" s="38" t="s">
        <v>50</v>
      </c>
      <c r="G253" s="38" t="s">
        <v>42</v>
      </c>
      <c r="H253" s="38" t="s">
        <v>66</v>
      </c>
      <c r="I253" s="46">
        <v>14</v>
      </c>
      <c r="J253" s="47">
        <v>18000</v>
      </c>
      <c r="K253" s="47">
        <f t="shared" si="22"/>
        <v>18000</v>
      </c>
      <c r="L253" s="47">
        <f t="shared" si="18"/>
        <v>252000</v>
      </c>
      <c r="M253" s="38">
        <v>15</v>
      </c>
      <c r="N253" s="47">
        <f t="shared" si="19"/>
        <v>37800</v>
      </c>
      <c r="O253" s="47">
        <f t="shared" si="20"/>
        <v>214200</v>
      </c>
      <c r="P253" s="38" t="s">
        <v>86</v>
      </c>
      <c r="Q253" s="43" t="s">
        <v>50</v>
      </c>
      <c r="R253" s="27" t="s">
        <v>42</v>
      </c>
      <c r="S253" s="27" t="s">
        <v>66</v>
      </c>
    </row>
    <row r="254" spans="1:19" x14ac:dyDescent="0.3">
      <c r="A254" s="48" t="s">
        <v>620</v>
      </c>
      <c r="B254" s="49">
        <v>45517</v>
      </c>
      <c r="C254" s="39" t="s">
        <v>621</v>
      </c>
      <c r="D254" s="39" t="s">
        <v>141</v>
      </c>
      <c r="E254" s="39" t="s">
        <v>40</v>
      </c>
      <c r="F254" s="39" t="s">
        <v>92</v>
      </c>
      <c r="G254" s="39" t="s">
        <v>77</v>
      </c>
      <c r="H254" s="39" t="s">
        <v>43</v>
      </c>
      <c r="I254" s="50">
        <v>13</v>
      </c>
      <c r="J254" s="51">
        <v>450000</v>
      </c>
      <c r="K254" s="51">
        <f t="shared" si="22"/>
        <v>450000</v>
      </c>
      <c r="L254" s="51">
        <f t="shared" si="18"/>
        <v>5850000</v>
      </c>
      <c r="M254" s="39">
        <v>15</v>
      </c>
      <c r="N254" s="51">
        <f t="shared" si="19"/>
        <v>877500</v>
      </c>
      <c r="O254" s="51">
        <f t="shared" si="20"/>
        <v>4972500</v>
      </c>
      <c r="P254" s="39" t="s">
        <v>51</v>
      </c>
      <c r="Q254" s="52" t="s">
        <v>92</v>
      </c>
      <c r="R254" s="27" t="s">
        <v>77</v>
      </c>
      <c r="S254" s="27" t="s">
        <v>43</v>
      </c>
    </row>
    <row r="255" spans="1:19" x14ac:dyDescent="0.3">
      <c r="A255" s="44" t="s">
        <v>622</v>
      </c>
      <c r="B255" s="45">
        <v>45330</v>
      </c>
      <c r="C255" s="38" t="s">
        <v>623</v>
      </c>
      <c r="D255" s="38" t="s">
        <v>39</v>
      </c>
      <c r="E255" s="38" t="s">
        <v>70</v>
      </c>
      <c r="F255" s="38" t="s">
        <v>92</v>
      </c>
      <c r="G255" s="38" t="s">
        <v>77</v>
      </c>
      <c r="H255" s="38" t="s">
        <v>43</v>
      </c>
      <c r="I255" s="46">
        <v>17</v>
      </c>
      <c r="J255" s="47">
        <v>450000</v>
      </c>
      <c r="K255" s="47">
        <f t="shared" si="22"/>
        <v>450000</v>
      </c>
      <c r="L255" s="47">
        <f t="shared" si="18"/>
        <v>7650000</v>
      </c>
      <c r="M255" s="38">
        <v>0</v>
      </c>
      <c r="N255" s="47">
        <f t="shared" si="19"/>
        <v>0</v>
      </c>
      <c r="O255" s="47">
        <f t="shared" si="20"/>
        <v>7650000</v>
      </c>
      <c r="P255" s="38" t="s">
        <v>51</v>
      </c>
      <c r="Q255" s="43" t="s">
        <v>92</v>
      </c>
      <c r="R255" s="27" t="s">
        <v>77</v>
      </c>
      <c r="S255" s="27" t="s">
        <v>43</v>
      </c>
    </row>
    <row r="256" spans="1:19" x14ac:dyDescent="0.3">
      <c r="A256" s="48" t="s">
        <v>624</v>
      </c>
      <c r="B256" s="49">
        <v>45551</v>
      </c>
      <c r="C256" s="39" t="s">
        <v>625</v>
      </c>
      <c r="D256" s="39" t="s">
        <v>65</v>
      </c>
      <c r="E256" s="39" t="s">
        <v>56</v>
      </c>
      <c r="F256" s="39" t="s">
        <v>50</v>
      </c>
      <c r="G256" s="39" t="s">
        <v>42</v>
      </c>
      <c r="H256" s="39" t="s">
        <v>66</v>
      </c>
      <c r="I256" s="50">
        <v>14</v>
      </c>
      <c r="J256" s="51">
        <v>18000</v>
      </c>
      <c r="K256" s="51">
        <f t="shared" si="22"/>
        <v>18000</v>
      </c>
      <c r="L256" s="51">
        <f t="shared" si="18"/>
        <v>252000</v>
      </c>
      <c r="M256" s="39">
        <v>15</v>
      </c>
      <c r="N256" s="51">
        <f t="shared" si="19"/>
        <v>37800</v>
      </c>
      <c r="O256" s="51">
        <f t="shared" si="20"/>
        <v>214200</v>
      </c>
      <c r="P256" s="39" t="s">
        <v>86</v>
      </c>
      <c r="Q256" s="52" t="s">
        <v>50</v>
      </c>
      <c r="R256" s="27" t="s">
        <v>42</v>
      </c>
      <c r="S256" s="27" t="s">
        <v>66</v>
      </c>
    </row>
    <row r="257" spans="1:19" x14ac:dyDescent="0.3">
      <c r="A257" s="44" t="s">
        <v>626</v>
      </c>
      <c r="B257" s="45">
        <v>45525</v>
      </c>
      <c r="C257" s="38" t="s">
        <v>627</v>
      </c>
      <c r="D257" s="38" t="s">
        <v>118</v>
      </c>
      <c r="E257" s="38" t="s">
        <v>70</v>
      </c>
      <c r="F257" s="38" t="s">
        <v>50</v>
      </c>
      <c r="G257" s="38" t="s">
        <v>42</v>
      </c>
      <c r="H257" s="38" t="s">
        <v>66</v>
      </c>
      <c r="I257" s="46">
        <v>17</v>
      </c>
      <c r="J257" s="47">
        <v>18000</v>
      </c>
      <c r="K257" s="47">
        <f t="shared" si="22"/>
        <v>18000</v>
      </c>
      <c r="L257" s="47">
        <f t="shared" si="18"/>
        <v>306000</v>
      </c>
      <c r="M257" s="38">
        <v>0</v>
      </c>
      <c r="N257" s="47">
        <f t="shared" si="19"/>
        <v>0</v>
      </c>
      <c r="O257" s="47">
        <f t="shared" si="20"/>
        <v>306000</v>
      </c>
      <c r="P257" s="38" t="s">
        <v>51</v>
      </c>
      <c r="Q257" s="43" t="s">
        <v>50</v>
      </c>
      <c r="R257" s="27" t="s">
        <v>42</v>
      </c>
      <c r="S257" s="27" t="s">
        <v>66</v>
      </c>
    </row>
    <row r="258" spans="1:19" x14ac:dyDescent="0.3">
      <c r="A258" s="48" t="s">
        <v>628</v>
      </c>
      <c r="B258" s="49">
        <v>45649</v>
      </c>
      <c r="C258" s="39" t="s">
        <v>629</v>
      </c>
      <c r="D258" s="39" t="s">
        <v>65</v>
      </c>
      <c r="E258" s="39" t="s">
        <v>40</v>
      </c>
      <c r="F258" s="39" t="s">
        <v>61</v>
      </c>
      <c r="G258" s="39" t="s">
        <v>42</v>
      </c>
      <c r="H258" s="39" t="s">
        <v>66</v>
      </c>
      <c r="I258" s="50">
        <v>7</v>
      </c>
      <c r="J258" s="51">
        <v>22000</v>
      </c>
      <c r="K258" s="51">
        <f t="shared" si="22"/>
        <v>22000</v>
      </c>
      <c r="L258" s="51">
        <f t="shared" ref="L258:L321" si="23">I258*K258</f>
        <v>154000</v>
      </c>
      <c r="M258" s="39">
        <v>10</v>
      </c>
      <c r="N258" s="51">
        <f t="shared" ref="N258:N321" si="24">M258/100 * L258</f>
        <v>15400</v>
      </c>
      <c r="O258" s="51">
        <f t="shared" ref="O258:O321" si="25">L258-N258</f>
        <v>138600</v>
      </c>
      <c r="P258" s="39" t="s">
        <v>51</v>
      </c>
      <c r="Q258" s="52" t="s">
        <v>61</v>
      </c>
      <c r="R258" s="27" t="s">
        <v>42</v>
      </c>
      <c r="S258" s="27" t="s">
        <v>66</v>
      </c>
    </row>
    <row r="259" spans="1:19" x14ac:dyDescent="0.3">
      <c r="A259" s="44" t="s">
        <v>630</v>
      </c>
      <c r="B259" s="45">
        <v>45445</v>
      </c>
      <c r="C259" s="38" t="s">
        <v>631</v>
      </c>
      <c r="D259" s="38" t="s">
        <v>39</v>
      </c>
      <c r="E259" s="38" t="s">
        <v>70</v>
      </c>
      <c r="F259" s="38" t="s">
        <v>92</v>
      </c>
      <c r="G259" s="38" t="s">
        <v>77</v>
      </c>
      <c r="H259" s="38" t="s">
        <v>71</v>
      </c>
      <c r="I259" s="46">
        <v>15</v>
      </c>
      <c r="J259" s="47">
        <v>450000</v>
      </c>
      <c r="K259" s="47">
        <f t="shared" si="22"/>
        <v>450000</v>
      </c>
      <c r="L259" s="47">
        <f t="shared" si="23"/>
        <v>6750000</v>
      </c>
      <c r="M259" s="38">
        <v>10</v>
      </c>
      <c r="N259" s="47">
        <f t="shared" si="24"/>
        <v>675000</v>
      </c>
      <c r="O259" s="47">
        <f t="shared" si="25"/>
        <v>6075000</v>
      </c>
      <c r="P259" s="38" t="s">
        <v>51</v>
      </c>
      <c r="Q259" s="43" t="s">
        <v>92</v>
      </c>
      <c r="R259" s="27" t="s">
        <v>77</v>
      </c>
      <c r="S259" s="27" t="s">
        <v>71</v>
      </c>
    </row>
    <row r="260" spans="1:19" x14ac:dyDescent="0.3">
      <c r="A260" s="48" t="s">
        <v>632</v>
      </c>
      <c r="B260" s="49">
        <v>45410</v>
      </c>
      <c r="C260" s="39" t="s">
        <v>633</v>
      </c>
      <c r="D260" s="39" t="s">
        <v>55</v>
      </c>
      <c r="E260" s="39" t="s">
        <v>56</v>
      </c>
      <c r="F260" s="39" t="s">
        <v>92</v>
      </c>
      <c r="G260" s="39" t="s">
        <v>77</v>
      </c>
      <c r="H260" s="39" t="s">
        <v>71</v>
      </c>
      <c r="I260" s="50">
        <v>19</v>
      </c>
      <c r="J260" s="51">
        <v>450000</v>
      </c>
      <c r="K260" s="51">
        <f t="shared" si="22"/>
        <v>450000</v>
      </c>
      <c r="L260" s="51">
        <f t="shared" si="23"/>
        <v>8550000</v>
      </c>
      <c r="M260" s="39">
        <v>20</v>
      </c>
      <c r="N260" s="51">
        <f t="shared" si="24"/>
        <v>1710000</v>
      </c>
      <c r="O260" s="51">
        <f t="shared" si="25"/>
        <v>6840000</v>
      </c>
      <c r="P260" s="39" t="s">
        <v>51</v>
      </c>
      <c r="Q260" s="52" t="s">
        <v>92</v>
      </c>
      <c r="R260" s="27" t="s">
        <v>77</v>
      </c>
      <c r="S260" s="27" t="s">
        <v>71</v>
      </c>
    </row>
    <row r="261" spans="1:19" x14ac:dyDescent="0.3">
      <c r="A261" s="44" t="s">
        <v>634</v>
      </c>
      <c r="B261" s="45">
        <v>45357</v>
      </c>
      <c r="C261" s="38" t="s">
        <v>140</v>
      </c>
      <c r="D261" s="38" t="s">
        <v>109</v>
      </c>
      <c r="E261" s="38" t="s">
        <v>49</v>
      </c>
      <c r="F261" s="38" t="s">
        <v>99</v>
      </c>
      <c r="G261" s="38" t="s">
        <v>77</v>
      </c>
      <c r="H261" s="38" t="s">
        <v>71</v>
      </c>
      <c r="I261" s="46">
        <v>10</v>
      </c>
      <c r="J261" s="47">
        <v>95000</v>
      </c>
      <c r="K261" s="47">
        <f t="shared" si="22"/>
        <v>95000</v>
      </c>
      <c r="L261" s="47">
        <f t="shared" si="23"/>
        <v>950000</v>
      </c>
      <c r="M261" s="38">
        <v>0</v>
      </c>
      <c r="N261" s="47">
        <f t="shared" si="24"/>
        <v>0</v>
      </c>
      <c r="O261" s="47">
        <f t="shared" si="25"/>
        <v>950000</v>
      </c>
      <c r="P261" s="38" t="s">
        <v>86</v>
      </c>
      <c r="Q261" s="43" t="s">
        <v>99</v>
      </c>
      <c r="R261" s="27" t="s">
        <v>77</v>
      </c>
      <c r="S261" s="27" t="s">
        <v>71</v>
      </c>
    </row>
    <row r="262" spans="1:19" x14ac:dyDescent="0.3">
      <c r="A262" s="48" t="s">
        <v>635</v>
      </c>
      <c r="B262" s="49">
        <v>45495</v>
      </c>
      <c r="C262" s="39" t="s">
        <v>285</v>
      </c>
      <c r="D262" s="39" t="s">
        <v>48</v>
      </c>
      <c r="E262" s="39" t="s">
        <v>49</v>
      </c>
      <c r="F262" s="39" t="s">
        <v>50</v>
      </c>
      <c r="G262" s="39" t="s">
        <v>42</v>
      </c>
      <c r="H262" s="39" t="s">
        <v>66</v>
      </c>
      <c r="I262" s="50">
        <v>2</v>
      </c>
      <c r="J262" s="51">
        <v>18000</v>
      </c>
      <c r="K262" s="51">
        <f t="shared" si="22"/>
        <v>18000</v>
      </c>
      <c r="L262" s="51">
        <f t="shared" si="23"/>
        <v>36000</v>
      </c>
      <c r="M262" s="39">
        <v>0</v>
      </c>
      <c r="N262" s="51">
        <f t="shared" si="24"/>
        <v>0</v>
      </c>
      <c r="O262" s="51">
        <f t="shared" si="25"/>
        <v>36000</v>
      </c>
      <c r="P262" s="39" t="s">
        <v>44</v>
      </c>
      <c r="Q262" s="52" t="s">
        <v>50</v>
      </c>
      <c r="R262" s="27" t="s">
        <v>42</v>
      </c>
      <c r="S262" s="27" t="s">
        <v>66</v>
      </c>
    </row>
    <row r="263" spans="1:19" x14ac:dyDescent="0.3">
      <c r="A263" s="44" t="s">
        <v>636</v>
      </c>
      <c r="B263" s="45">
        <v>45450</v>
      </c>
      <c r="C263" s="38" t="s">
        <v>637</v>
      </c>
      <c r="D263" s="38" t="s">
        <v>109</v>
      </c>
      <c r="E263" s="38" t="s">
        <v>40</v>
      </c>
      <c r="F263" s="38" t="s">
        <v>99</v>
      </c>
      <c r="G263" s="38" t="s">
        <v>77</v>
      </c>
      <c r="H263" s="38" t="s">
        <v>71</v>
      </c>
      <c r="I263" s="46">
        <v>19</v>
      </c>
      <c r="J263" s="47">
        <v>95000</v>
      </c>
      <c r="K263" s="47">
        <f t="shared" si="22"/>
        <v>95000</v>
      </c>
      <c r="L263" s="47">
        <f t="shared" si="23"/>
        <v>1805000</v>
      </c>
      <c r="M263" s="38">
        <v>15</v>
      </c>
      <c r="N263" s="47">
        <f t="shared" si="24"/>
        <v>270750</v>
      </c>
      <c r="O263" s="47">
        <f t="shared" si="25"/>
        <v>1534250</v>
      </c>
      <c r="P263" s="38" t="s">
        <v>44</v>
      </c>
      <c r="Q263" s="43" t="s">
        <v>99</v>
      </c>
      <c r="R263" s="27" t="s">
        <v>77</v>
      </c>
      <c r="S263" s="27" t="s">
        <v>71</v>
      </c>
    </row>
    <row r="264" spans="1:19" x14ac:dyDescent="0.3">
      <c r="A264" s="48" t="s">
        <v>638</v>
      </c>
      <c r="B264" s="49">
        <v>45462</v>
      </c>
      <c r="C264" s="39" t="s">
        <v>639</v>
      </c>
      <c r="D264" s="39" t="s">
        <v>55</v>
      </c>
      <c r="E264" s="39" t="s">
        <v>49</v>
      </c>
      <c r="F264" s="39" t="s">
        <v>61</v>
      </c>
      <c r="G264" s="39" t="s">
        <v>42</v>
      </c>
      <c r="H264" s="39" t="s">
        <v>71</v>
      </c>
      <c r="I264" s="50">
        <v>18</v>
      </c>
      <c r="J264" s="51">
        <v>22000</v>
      </c>
      <c r="K264" s="51">
        <f t="shared" si="22"/>
        <v>22000</v>
      </c>
      <c r="L264" s="51">
        <f t="shared" si="23"/>
        <v>396000</v>
      </c>
      <c r="M264" s="39">
        <v>0</v>
      </c>
      <c r="N264" s="51">
        <f t="shared" si="24"/>
        <v>0</v>
      </c>
      <c r="O264" s="51">
        <f t="shared" si="25"/>
        <v>396000</v>
      </c>
      <c r="P264" s="39" t="s">
        <v>51</v>
      </c>
      <c r="Q264" s="52" t="s">
        <v>61</v>
      </c>
      <c r="R264" s="27" t="s">
        <v>42</v>
      </c>
      <c r="S264" s="27" t="s">
        <v>71</v>
      </c>
    </row>
    <row r="265" spans="1:19" x14ac:dyDescent="0.3">
      <c r="A265" s="44" t="s">
        <v>640</v>
      </c>
      <c r="B265" s="45">
        <v>45404</v>
      </c>
      <c r="C265" s="38" t="s">
        <v>464</v>
      </c>
      <c r="D265" s="38" t="s">
        <v>65</v>
      </c>
      <c r="E265" s="38" t="s">
        <v>49</v>
      </c>
      <c r="F265" s="38" t="s">
        <v>57</v>
      </c>
      <c r="G265" s="38" t="s">
        <v>42</v>
      </c>
      <c r="H265" s="38" t="s">
        <v>43</v>
      </c>
      <c r="I265" s="46">
        <v>2</v>
      </c>
      <c r="J265" s="47">
        <v>28000</v>
      </c>
      <c r="K265" s="47">
        <f t="shared" si="22"/>
        <v>28000</v>
      </c>
      <c r="L265" s="47">
        <f t="shared" si="23"/>
        <v>56000</v>
      </c>
      <c r="M265" s="38">
        <v>0</v>
      </c>
      <c r="N265" s="47">
        <f t="shared" si="24"/>
        <v>0</v>
      </c>
      <c r="O265" s="47">
        <f t="shared" si="25"/>
        <v>56000</v>
      </c>
      <c r="P265" s="38" t="s">
        <v>86</v>
      </c>
      <c r="Q265" s="43" t="s">
        <v>57</v>
      </c>
      <c r="R265" s="27" t="s">
        <v>42</v>
      </c>
      <c r="S265" s="27" t="s">
        <v>43</v>
      </c>
    </row>
    <row r="266" spans="1:19" x14ac:dyDescent="0.3">
      <c r="A266" s="48" t="s">
        <v>641</v>
      </c>
      <c r="B266" s="49">
        <v>45641</v>
      </c>
      <c r="C266" s="39" t="s">
        <v>642</v>
      </c>
      <c r="D266" s="39" t="s">
        <v>154</v>
      </c>
      <c r="E266" s="39" t="s">
        <v>40</v>
      </c>
      <c r="F266" s="39" t="s">
        <v>92</v>
      </c>
      <c r="G266" s="39" t="s">
        <v>77</v>
      </c>
      <c r="H266" s="39" t="s">
        <v>71</v>
      </c>
      <c r="I266" s="50">
        <v>4</v>
      </c>
      <c r="J266" s="51">
        <v>450000</v>
      </c>
      <c r="K266" s="51">
        <f t="shared" si="22"/>
        <v>450000</v>
      </c>
      <c r="L266" s="51">
        <f t="shared" si="23"/>
        <v>1800000</v>
      </c>
      <c r="M266" s="39">
        <v>5</v>
      </c>
      <c r="N266" s="51">
        <f t="shared" si="24"/>
        <v>90000</v>
      </c>
      <c r="O266" s="51">
        <f t="shared" si="25"/>
        <v>1710000</v>
      </c>
      <c r="P266" s="39" t="s">
        <v>51</v>
      </c>
      <c r="Q266" s="52" t="s">
        <v>92</v>
      </c>
      <c r="R266" s="27" t="s">
        <v>77</v>
      </c>
      <c r="S266" s="27" t="s">
        <v>71</v>
      </c>
    </row>
    <row r="267" spans="1:19" x14ac:dyDescent="0.3">
      <c r="A267" s="44" t="s">
        <v>643</v>
      </c>
      <c r="B267" s="45">
        <v>45367</v>
      </c>
      <c r="C267" s="38" t="s">
        <v>644</v>
      </c>
      <c r="D267" s="38" t="s">
        <v>75</v>
      </c>
      <c r="E267" s="38" t="s">
        <v>40</v>
      </c>
      <c r="F267" s="38" t="s">
        <v>82</v>
      </c>
      <c r="G267" s="38" t="s">
        <v>77</v>
      </c>
      <c r="H267" s="38" t="s">
        <v>130</v>
      </c>
      <c r="I267" s="46">
        <v>4</v>
      </c>
      <c r="J267" s="47">
        <v>220000</v>
      </c>
      <c r="K267" s="47">
        <f t="shared" si="22"/>
        <v>220000</v>
      </c>
      <c r="L267" s="47">
        <f t="shared" si="23"/>
        <v>880000</v>
      </c>
      <c r="M267" s="38">
        <v>15</v>
      </c>
      <c r="N267" s="47">
        <f t="shared" si="24"/>
        <v>132000</v>
      </c>
      <c r="O267" s="47">
        <f t="shared" si="25"/>
        <v>748000</v>
      </c>
      <c r="P267" s="38" t="s">
        <v>164</v>
      </c>
      <c r="Q267" s="43" t="s">
        <v>82</v>
      </c>
      <c r="R267" s="27" t="s">
        <v>77</v>
      </c>
      <c r="S267" s="27" t="s">
        <v>130</v>
      </c>
    </row>
    <row r="268" spans="1:19" x14ac:dyDescent="0.3">
      <c r="A268" s="48" t="s">
        <v>645</v>
      </c>
      <c r="B268" s="49">
        <v>45581</v>
      </c>
      <c r="C268" s="39" t="s">
        <v>646</v>
      </c>
      <c r="D268" s="39" t="s">
        <v>81</v>
      </c>
      <c r="E268" s="39" t="s">
        <v>49</v>
      </c>
      <c r="F268" s="39" t="s">
        <v>41</v>
      </c>
      <c r="G268" s="39" t="s">
        <v>42</v>
      </c>
      <c r="H268" s="39" t="s">
        <v>43</v>
      </c>
      <c r="I268" s="50">
        <v>15</v>
      </c>
      <c r="J268" s="51">
        <v>35000</v>
      </c>
      <c r="K268" s="51">
        <f t="shared" si="22"/>
        <v>35000</v>
      </c>
      <c r="L268" s="51">
        <f t="shared" si="23"/>
        <v>525000</v>
      </c>
      <c r="M268" s="39">
        <v>0</v>
      </c>
      <c r="N268" s="51">
        <f t="shared" si="24"/>
        <v>0</v>
      </c>
      <c r="O268" s="51">
        <f t="shared" si="25"/>
        <v>525000</v>
      </c>
      <c r="P268" s="39" t="s">
        <v>44</v>
      </c>
      <c r="Q268" s="52" t="s">
        <v>41</v>
      </c>
      <c r="R268" s="27" t="s">
        <v>42</v>
      </c>
      <c r="S268" s="27" t="s">
        <v>43</v>
      </c>
    </row>
    <row r="269" spans="1:19" x14ac:dyDescent="0.3">
      <c r="A269" s="44" t="s">
        <v>647</v>
      </c>
      <c r="B269" s="45">
        <v>45607</v>
      </c>
      <c r="C269" s="38" t="s">
        <v>648</v>
      </c>
      <c r="D269" s="38" t="s">
        <v>48</v>
      </c>
      <c r="E269" s="38" t="s">
        <v>49</v>
      </c>
      <c r="F269" s="38" t="s">
        <v>92</v>
      </c>
      <c r="G269" s="38" t="s">
        <v>77</v>
      </c>
      <c r="H269" s="38" t="s">
        <v>71</v>
      </c>
      <c r="I269" s="46">
        <v>3</v>
      </c>
      <c r="J269" s="47">
        <v>450000</v>
      </c>
      <c r="K269" s="47">
        <f t="shared" si="22"/>
        <v>450000</v>
      </c>
      <c r="L269" s="47">
        <f t="shared" si="23"/>
        <v>1350000</v>
      </c>
      <c r="M269" s="38">
        <v>10</v>
      </c>
      <c r="N269" s="47">
        <f t="shared" si="24"/>
        <v>135000</v>
      </c>
      <c r="O269" s="47">
        <f t="shared" si="25"/>
        <v>1215000</v>
      </c>
      <c r="P269" s="38" t="s">
        <v>86</v>
      </c>
      <c r="Q269" s="43" t="s">
        <v>92</v>
      </c>
      <c r="R269" s="27" t="s">
        <v>77</v>
      </c>
      <c r="S269" s="27" t="s">
        <v>71</v>
      </c>
    </row>
    <row r="270" spans="1:19" x14ac:dyDescent="0.3">
      <c r="A270" s="48" t="s">
        <v>649</v>
      </c>
      <c r="B270" s="49">
        <v>45370</v>
      </c>
      <c r="C270" s="39" t="s">
        <v>650</v>
      </c>
      <c r="D270" s="39" t="s">
        <v>81</v>
      </c>
      <c r="E270" s="39" t="s">
        <v>40</v>
      </c>
      <c r="F270" s="39" t="s">
        <v>92</v>
      </c>
      <c r="G270" s="39" t="s">
        <v>77</v>
      </c>
      <c r="H270" s="39" t="s">
        <v>43</v>
      </c>
      <c r="I270" s="50">
        <v>6</v>
      </c>
      <c r="J270" s="51">
        <v>450000</v>
      </c>
      <c r="K270" s="51">
        <f t="shared" si="22"/>
        <v>450000</v>
      </c>
      <c r="L270" s="51">
        <f t="shared" si="23"/>
        <v>2700000</v>
      </c>
      <c r="M270" s="39">
        <v>20</v>
      </c>
      <c r="N270" s="51">
        <f t="shared" si="24"/>
        <v>540000</v>
      </c>
      <c r="O270" s="51">
        <f t="shared" si="25"/>
        <v>2160000</v>
      </c>
      <c r="P270" s="39" t="s">
        <v>51</v>
      </c>
      <c r="Q270" s="52" t="s">
        <v>92</v>
      </c>
      <c r="R270" s="27" t="s">
        <v>77</v>
      </c>
      <c r="S270" s="27" t="s">
        <v>43</v>
      </c>
    </row>
    <row r="271" spans="1:19" x14ac:dyDescent="0.3">
      <c r="A271" s="44" t="s">
        <v>651</v>
      </c>
      <c r="B271" s="45">
        <v>45624</v>
      </c>
      <c r="C271" s="38" t="s">
        <v>652</v>
      </c>
      <c r="D271" s="38" t="s">
        <v>109</v>
      </c>
      <c r="E271" s="38" t="s">
        <v>49</v>
      </c>
      <c r="F271" s="38" t="s">
        <v>76</v>
      </c>
      <c r="G271" s="38" t="s">
        <v>77</v>
      </c>
      <c r="H271" s="38" t="s">
        <v>66</v>
      </c>
      <c r="I271" s="46">
        <v>14</v>
      </c>
      <c r="J271" s="47">
        <v>180000</v>
      </c>
      <c r="K271" s="47">
        <f t="shared" si="22"/>
        <v>180000</v>
      </c>
      <c r="L271" s="47">
        <f t="shared" si="23"/>
        <v>2520000</v>
      </c>
      <c r="M271" s="38">
        <v>20</v>
      </c>
      <c r="N271" s="47">
        <f t="shared" si="24"/>
        <v>504000</v>
      </c>
      <c r="O271" s="47">
        <f t="shared" si="25"/>
        <v>2016000</v>
      </c>
      <c r="P271" s="38" t="s">
        <v>86</v>
      </c>
      <c r="Q271" s="43" t="s">
        <v>76</v>
      </c>
      <c r="R271" s="27" t="s">
        <v>77</v>
      </c>
      <c r="S271" s="27" t="s">
        <v>66</v>
      </c>
    </row>
    <row r="272" spans="1:19" x14ac:dyDescent="0.3">
      <c r="A272" s="48" t="s">
        <v>653</v>
      </c>
      <c r="B272" s="49">
        <v>45391</v>
      </c>
      <c r="C272" s="39" t="s">
        <v>654</v>
      </c>
      <c r="D272" s="39" t="s">
        <v>75</v>
      </c>
      <c r="E272" s="39" t="s">
        <v>40</v>
      </c>
      <c r="F272" s="39" t="s">
        <v>92</v>
      </c>
      <c r="G272" s="39" t="s">
        <v>77</v>
      </c>
      <c r="H272" s="39" t="s">
        <v>43</v>
      </c>
      <c r="I272" s="50">
        <v>3</v>
      </c>
      <c r="J272" s="51">
        <v>450000</v>
      </c>
      <c r="K272" s="51">
        <f t="shared" si="22"/>
        <v>450000</v>
      </c>
      <c r="L272" s="51">
        <f t="shared" si="23"/>
        <v>1350000</v>
      </c>
      <c r="M272" s="39">
        <v>15</v>
      </c>
      <c r="N272" s="51">
        <f t="shared" si="24"/>
        <v>202500</v>
      </c>
      <c r="O272" s="51">
        <f t="shared" si="25"/>
        <v>1147500</v>
      </c>
      <c r="P272" s="39" t="s">
        <v>51</v>
      </c>
      <c r="Q272" s="52" t="s">
        <v>92</v>
      </c>
      <c r="R272" s="27" t="s">
        <v>77</v>
      </c>
      <c r="S272" s="27" t="s">
        <v>43</v>
      </c>
    </row>
    <row r="273" spans="1:19" x14ac:dyDescent="0.3">
      <c r="A273" s="44" t="s">
        <v>655</v>
      </c>
      <c r="B273" s="45">
        <v>45526</v>
      </c>
      <c r="C273" s="38" t="s">
        <v>656</v>
      </c>
      <c r="D273" s="38" t="s">
        <v>75</v>
      </c>
      <c r="E273" s="38" t="s">
        <v>40</v>
      </c>
      <c r="F273" s="38" t="s">
        <v>61</v>
      </c>
      <c r="G273" s="38" t="s">
        <v>42</v>
      </c>
      <c r="H273" s="38" t="s">
        <v>71</v>
      </c>
      <c r="I273" s="46">
        <v>5</v>
      </c>
      <c r="J273" s="47">
        <v>22000</v>
      </c>
      <c r="K273" s="47">
        <f t="shared" si="22"/>
        <v>22000</v>
      </c>
      <c r="L273" s="47">
        <f t="shared" si="23"/>
        <v>110000</v>
      </c>
      <c r="M273" s="38">
        <v>20</v>
      </c>
      <c r="N273" s="47">
        <f t="shared" si="24"/>
        <v>22000</v>
      </c>
      <c r="O273" s="47">
        <f t="shared" si="25"/>
        <v>88000</v>
      </c>
      <c r="P273" s="38" t="s">
        <v>51</v>
      </c>
      <c r="Q273" s="43" t="s">
        <v>61</v>
      </c>
      <c r="R273" s="27" t="s">
        <v>42</v>
      </c>
      <c r="S273" s="27" t="s">
        <v>71</v>
      </c>
    </row>
    <row r="274" spans="1:19" x14ac:dyDescent="0.3">
      <c r="A274" s="48" t="s">
        <v>657</v>
      </c>
      <c r="B274" s="49">
        <v>45475</v>
      </c>
      <c r="C274" s="39" t="s">
        <v>658</v>
      </c>
      <c r="D274" s="39" t="s">
        <v>39</v>
      </c>
      <c r="E274" s="39" t="s">
        <v>40</v>
      </c>
      <c r="F274" s="39" t="s">
        <v>92</v>
      </c>
      <c r="G274" s="39" t="s">
        <v>77</v>
      </c>
      <c r="H274" s="39" t="s">
        <v>66</v>
      </c>
      <c r="I274" s="50">
        <v>5</v>
      </c>
      <c r="J274" s="51">
        <v>450000</v>
      </c>
      <c r="K274" s="51">
        <f t="shared" si="22"/>
        <v>450000</v>
      </c>
      <c r="L274" s="51">
        <f t="shared" si="23"/>
        <v>2250000</v>
      </c>
      <c r="M274" s="39">
        <v>20</v>
      </c>
      <c r="N274" s="51">
        <f t="shared" si="24"/>
        <v>450000</v>
      </c>
      <c r="O274" s="51">
        <f t="shared" si="25"/>
        <v>1800000</v>
      </c>
      <c r="P274" s="39" t="s">
        <v>164</v>
      </c>
      <c r="Q274" s="52" t="s">
        <v>92</v>
      </c>
      <c r="R274" s="27" t="s">
        <v>77</v>
      </c>
      <c r="S274" s="27" t="s">
        <v>66</v>
      </c>
    </row>
    <row r="275" spans="1:19" x14ac:dyDescent="0.3">
      <c r="A275" s="44" t="s">
        <v>661</v>
      </c>
      <c r="B275" s="45">
        <v>45331</v>
      </c>
      <c r="C275" s="38" t="s">
        <v>662</v>
      </c>
      <c r="D275" s="38" t="s">
        <v>118</v>
      </c>
      <c r="E275" s="38" t="s">
        <v>70</v>
      </c>
      <c r="F275" s="38" t="s">
        <v>82</v>
      </c>
      <c r="G275" s="38" t="s">
        <v>77</v>
      </c>
      <c r="H275" s="38" t="s">
        <v>43</v>
      </c>
      <c r="I275" s="46">
        <v>7</v>
      </c>
      <c r="J275" s="47">
        <v>220000</v>
      </c>
      <c r="K275" s="47">
        <f t="shared" si="22"/>
        <v>220000</v>
      </c>
      <c r="L275" s="47">
        <f t="shared" si="23"/>
        <v>1540000</v>
      </c>
      <c r="M275" s="38">
        <v>5</v>
      </c>
      <c r="N275" s="47">
        <f t="shared" si="24"/>
        <v>77000</v>
      </c>
      <c r="O275" s="47">
        <f t="shared" si="25"/>
        <v>1463000</v>
      </c>
      <c r="P275" s="38" t="s">
        <v>86</v>
      </c>
      <c r="Q275" s="43" t="s">
        <v>82</v>
      </c>
      <c r="R275" s="27" t="s">
        <v>77</v>
      </c>
      <c r="S275" s="27" t="s">
        <v>43</v>
      </c>
    </row>
    <row r="276" spans="1:19" x14ac:dyDescent="0.3">
      <c r="A276" s="48" t="s">
        <v>663</v>
      </c>
      <c r="B276" s="49">
        <v>45548</v>
      </c>
      <c r="C276" s="39" t="s">
        <v>664</v>
      </c>
      <c r="D276" s="39" t="s">
        <v>109</v>
      </c>
      <c r="E276" s="39" t="s">
        <v>56</v>
      </c>
      <c r="F276" s="39" t="s">
        <v>92</v>
      </c>
      <c r="G276" s="39" t="s">
        <v>77</v>
      </c>
      <c r="H276" s="39" t="s">
        <v>71</v>
      </c>
      <c r="I276" s="50">
        <v>3</v>
      </c>
      <c r="J276" s="51">
        <v>450000</v>
      </c>
      <c r="K276" s="51">
        <f t="shared" ref="K276:K307" si="26">J276</f>
        <v>450000</v>
      </c>
      <c r="L276" s="51">
        <f t="shared" si="23"/>
        <v>1350000</v>
      </c>
      <c r="M276" s="39">
        <v>15</v>
      </c>
      <c r="N276" s="51">
        <f t="shared" si="24"/>
        <v>202500</v>
      </c>
      <c r="O276" s="51">
        <f t="shared" si="25"/>
        <v>1147500</v>
      </c>
      <c r="P276" s="39" t="s">
        <v>131</v>
      </c>
      <c r="Q276" s="52" t="s">
        <v>92</v>
      </c>
      <c r="R276" s="27" t="s">
        <v>77</v>
      </c>
      <c r="S276" s="27" t="s">
        <v>71</v>
      </c>
    </row>
    <row r="277" spans="1:19" x14ac:dyDescent="0.3">
      <c r="A277" s="44" t="s">
        <v>665</v>
      </c>
      <c r="B277" s="45">
        <v>45359</v>
      </c>
      <c r="C277" s="38" t="s">
        <v>666</v>
      </c>
      <c r="D277" s="38" t="s">
        <v>65</v>
      </c>
      <c r="E277" s="38" t="s">
        <v>40</v>
      </c>
      <c r="F277" s="38" t="s">
        <v>76</v>
      </c>
      <c r="G277" s="38" t="s">
        <v>77</v>
      </c>
      <c r="H277" s="38" t="s">
        <v>43</v>
      </c>
      <c r="I277" s="46">
        <v>4</v>
      </c>
      <c r="J277" s="47">
        <v>180000</v>
      </c>
      <c r="K277" s="47">
        <f t="shared" si="26"/>
        <v>180000</v>
      </c>
      <c r="L277" s="47">
        <f t="shared" si="23"/>
        <v>720000</v>
      </c>
      <c r="M277" s="38">
        <v>0</v>
      </c>
      <c r="N277" s="47">
        <f t="shared" si="24"/>
        <v>0</v>
      </c>
      <c r="O277" s="47">
        <f t="shared" si="25"/>
        <v>720000</v>
      </c>
      <c r="P277" s="38" t="s">
        <v>44</v>
      </c>
      <c r="Q277" s="43" t="s">
        <v>76</v>
      </c>
      <c r="R277" s="27" t="s">
        <v>77</v>
      </c>
      <c r="S277" s="27" t="s">
        <v>43</v>
      </c>
    </row>
    <row r="278" spans="1:19" x14ac:dyDescent="0.3">
      <c r="A278" s="48" t="s">
        <v>667</v>
      </c>
      <c r="B278" s="49">
        <v>45505</v>
      </c>
      <c r="C278" s="39" t="s">
        <v>668</v>
      </c>
      <c r="D278" s="39" t="s">
        <v>154</v>
      </c>
      <c r="E278" s="39" t="s">
        <v>49</v>
      </c>
      <c r="F278" s="39" t="s">
        <v>41</v>
      </c>
      <c r="G278" s="39" t="s">
        <v>42</v>
      </c>
      <c r="H278" s="39" t="s">
        <v>66</v>
      </c>
      <c r="I278" s="50">
        <v>17</v>
      </c>
      <c r="J278" s="51">
        <v>35000</v>
      </c>
      <c r="K278" s="51">
        <f t="shared" si="26"/>
        <v>35000</v>
      </c>
      <c r="L278" s="51">
        <f t="shared" si="23"/>
        <v>595000</v>
      </c>
      <c r="M278" s="39">
        <v>15</v>
      </c>
      <c r="N278" s="51">
        <f t="shared" si="24"/>
        <v>89250</v>
      </c>
      <c r="O278" s="51">
        <f t="shared" si="25"/>
        <v>505750</v>
      </c>
      <c r="P278" s="39" t="s">
        <v>44</v>
      </c>
      <c r="Q278" s="52" t="s">
        <v>41</v>
      </c>
      <c r="R278" s="27" t="s">
        <v>42</v>
      </c>
      <c r="S278" s="27" t="s">
        <v>66</v>
      </c>
    </row>
    <row r="279" spans="1:19" x14ac:dyDescent="0.3">
      <c r="A279" s="44" t="s">
        <v>669</v>
      </c>
      <c r="B279" s="45">
        <v>45622</v>
      </c>
      <c r="C279" s="38" t="s">
        <v>670</v>
      </c>
      <c r="D279" s="38" t="s">
        <v>118</v>
      </c>
      <c r="E279" s="38" t="s">
        <v>56</v>
      </c>
      <c r="F279" s="38" t="s">
        <v>76</v>
      </c>
      <c r="G279" s="38" t="s">
        <v>77</v>
      </c>
      <c r="H279" s="38" t="s">
        <v>71</v>
      </c>
      <c r="I279" s="46">
        <v>18</v>
      </c>
      <c r="J279" s="47">
        <v>180000</v>
      </c>
      <c r="K279" s="47">
        <f t="shared" si="26"/>
        <v>180000</v>
      </c>
      <c r="L279" s="47">
        <f t="shared" si="23"/>
        <v>3240000</v>
      </c>
      <c r="M279" s="38">
        <v>5</v>
      </c>
      <c r="N279" s="47">
        <f t="shared" si="24"/>
        <v>162000</v>
      </c>
      <c r="O279" s="47">
        <f t="shared" si="25"/>
        <v>3078000</v>
      </c>
      <c r="P279" s="38" t="s">
        <v>51</v>
      </c>
      <c r="Q279" s="43" t="s">
        <v>76</v>
      </c>
      <c r="R279" s="27" t="s">
        <v>77</v>
      </c>
      <c r="S279" s="27" t="s">
        <v>71</v>
      </c>
    </row>
    <row r="280" spans="1:19" x14ac:dyDescent="0.3">
      <c r="A280" s="48" t="s">
        <v>465</v>
      </c>
      <c r="B280" s="49">
        <v>45646</v>
      </c>
      <c r="C280" s="39" t="s">
        <v>466</v>
      </c>
      <c r="D280" s="39" t="s">
        <v>118</v>
      </c>
      <c r="E280" s="39" t="s">
        <v>49</v>
      </c>
      <c r="F280" s="39" t="s">
        <v>76</v>
      </c>
      <c r="G280" s="39" t="s">
        <v>77</v>
      </c>
      <c r="H280" s="39" t="s">
        <v>66</v>
      </c>
      <c r="I280" s="50">
        <v>14</v>
      </c>
      <c r="J280" s="51">
        <v>180000</v>
      </c>
      <c r="K280" s="51">
        <f t="shared" si="26"/>
        <v>180000</v>
      </c>
      <c r="L280" s="51">
        <f t="shared" si="23"/>
        <v>2520000</v>
      </c>
      <c r="M280" s="39">
        <v>5</v>
      </c>
      <c r="N280" s="51">
        <f t="shared" si="24"/>
        <v>126000</v>
      </c>
      <c r="O280" s="51">
        <f t="shared" si="25"/>
        <v>2394000</v>
      </c>
      <c r="P280" s="39" t="s">
        <v>51</v>
      </c>
      <c r="Q280" s="52" t="s">
        <v>76</v>
      </c>
      <c r="R280" s="27" t="s">
        <v>77</v>
      </c>
      <c r="S280" s="27" t="s">
        <v>66</v>
      </c>
    </row>
    <row r="281" spans="1:19" x14ac:dyDescent="0.3">
      <c r="A281" s="44" t="s">
        <v>671</v>
      </c>
      <c r="B281" s="45">
        <v>45585</v>
      </c>
      <c r="C281" s="38" t="s">
        <v>672</v>
      </c>
      <c r="D281" s="38" t="s">
        <v>39</v>
      </c>
      <c r="E281" s="38" t="s">
        <v>70</v>
      </c>
      <c r="F281" s="38" t="s">
        <v>82</v>
      </c>
      <c r="G281" s="38" t="s">
        <v>77</v>
      </c>
      <c r="H281" s="38" t="s">
        <v>71</v>
      </c>
      <c r="I281" s="46">
        <v>12</v>
      </c>
      <c r="J281" s="47">
        <v>220000</v>
      </c>
      <c r="K281" s="47">
        <f t="shared" si="26"/>
        <v>220000</v>
      </c>
      <c r="L281" s="47">
        <f t="shared" si="23"/>
        <v>2640000</v>
      </c>
      <c r="M281" s="38">
        <v>0</v>
      </c>
      <c r="N281" s="47">
        <f t="shared" si="24"/>
        <v>0</v>
      </c>
      <c r="O281" s="47">
        <f t="shared" si="25"/>
        <v>2640000</v>
      </c>
      <c r="P281" s="38" t="s">
        <v>131</v>
      </c>
      <c r="Q281" s="43" t="s">
        <v>82</v>
      </c>
      <c r="R281" s="27" t="s">
        <v>77</v>
      </c>
      <c r="S281" s="27" t="s">
        <v>71</v>
      </c>
    </row>
    <row r="282" spans="1:19" x14ac:dyDescent="0.3">
      <c r="A282" s="48" t="s">
        <v>673</v>
      </c>
      <c r="B282" s="49">
        <v>45651</v>
      </c>
      <c r="C282" s="39" t="s">
        <v>674</v>
      </c>
      <c r="D282" s="39" t="s">
        <v>154</v>
      </c>
      <c r="E282" s="39" t="s">
        <v>70</v>
      </c>
      <c r="F282" s="39" t="s">
        <v>76</v>
      </c>
      <c r="G282" s="39" t="s">
        <v>77</v>
      </c>
      <c r="H282" s="39" t="s">
        <v>71</v>
      </c>
      <c r="I282" s="50">
        <v>5</v>
      </c>
      <c r="J282" s="51">
        <v>180000</v>
      </c>
      <c r="K282" s="51">
        <f t="shared" si="26"/>
        <v>180000</v>
      </c>
      <c r="L282" s="51">
        <f t="shared" si="23"/>
        <v>900000</v>
      </c>
      <c r="M282" s="39">
        <v>0</v>
      </c>
      <c r="N282" s="51">
        <f t="shared" si="24"/>
        <v>0</v>
      </c>
      <c r="O282" s="51">
        <f t="shared" si="25"/>
        <v>900000</v>
      </c>
      <c r="P282" s="39" t="s">
        <v>51</v>
      </c>
      <c r="Q282" s="52" t="s">
        <v>76</v>
      </c>
      <c r="R282" s="27" t="s">
        <v>77</v>
      </c>
      <c r="S282" s="27" t="s">
        <v>71</v>
      </c>
    </row>
    <row r="283" spans="1:19" x14ac:dyDescent="0.3">
      <c r="A283" s="44" t="s">
        <v>675</v>
      </c>
      <c r="B283" s="45">
        <v>45547</v>
      </c>
      <c r="C283" s="38" t="s">
        <v>676</v>
      </c>
      <c r="D283" s="38" t="s">
        <v>75</v>
      </c>
      <c r="E283" s="38" t="s">
        <v>70</v>
      </c>
      <c r="F283" s="38" t="s">
        <v>61</v>
      </c>
      <c r="G283" s="38" t="s">
        <v>42</v>
      </c>
      <c r="H283" s="38" t="s">
        <v>71</v>
      </c>
      <c r="I283" s="46">
        <v>4</v>
      </c>
      <c r="J283" s="47">
        <v>22000</v>
      </c>
      <c r="K283" s="47">
        <f t="shared" si="26"/>
        <v>22000</v>
      </c>
      <c r="L283" s="47">
        <f t="shared" si="23"/>
        <v>88000</v>
      </c>
      <c r="M283" s="38">
        <v>0</v>
      </c>
      <c r="N283" s="47">
        <f t="shared" si="24"/>
        <v>0</v>
      </c>
      <c r="O283" s="47">
        <f t="shared" si="25"/>
        <v>88000</v>
      </c>
      <c r="P283" s="38" t="s">
        <v>44</v>
      </c>
      <c r="Q283" s="43" t="s">
        <v>61</v>
      </c>
      <c r="R283" s="27" t="s">
        <v>42</v>
      </c>
      <c r="S283" s="27" t="s">
        <v>71</v>
      </c>
    </row>
    <row r="284" spans="1:19" x14ac:dyDescent="0.3">
      <c r="A284" s="48" t="s">
        <v>677</v>
      </c>
      <c r="B284" s="49">
        <v>45368</v>
      </c>
      <c r="C284" s="39" t="s">
        <v>678</v>
      </c>
      <c r="D284" s="39" t="s">
        <v>75</v>
      </c>
      <c r="E284" s="39" t="s">
        <v>56</v>
      </c>
      <c r="F284" s="39" t="s">
        <v>57</v>
      </c>
      <c r="G284" s="39" t="s">
        <v>42</v>
      </c>
      <c r="H284" s="39" t="s">
        <v>66</v>
      </c>
      <c r="I284" s="50">
        <v>2</v>
      </c>
      <c r="J284" s="51">
        <v>28000</v>
      </c>
      <c r="K284" s="51">
        <f t="shared" si="26"/>
        <v>28000</v>
      </c>
      <c r="L284" s="51">
        <f t="shared" si="23"/>
        <v>56000</v>
      </c>
      <c r="M284" s="39">
        <v>15</v>
      </c>
      <c r="N284" s="51">
        <f t="shared" si="24"/>
        <v>8400</v>
      </c>
      <c r="O284" s="51">
        <f t="shared" si="25"/>
        <v>47600</v>
      </c>
      <c r="P284" s="39" t="s">
        <v>51</v>
      </c>
      <c r="Q284" s="52" t="s">
        <v>57</v>
      </c>
      <c r="R284" s="27" t="s">
        <v>42</v>
      </c>
      <c r="S284" s="27" t="s">
        <v>66</v>
      </c>
    </row>
    <row r="285" spans="1:19" x14ac:dyDescent="0.3">
      <c r="A285" s="44" t="s">
        <v>679</v>
      </c>
      <c r="B285" s="45">
        <v>45300</v>
      </c>
      <c r="C285" s="38" t="s">
        <v>680</v>
      </c>
      <c r="D285" s="38" t="s">
        <v>154</v>
      </c>
      <c r="E285" s="38" t="s">
        <v>40</v>
      </c>
      <c r="F285" s="38" t="s">
        <v>76</v>
      </c>
      <c r="G285" s="38" t="s">
        <v>77</v>
      </c>
      <c r="H285" s="38" t="s">
        <v>71</v>
      </c>
      <c r="I285" s="46">
        <v>19</v>
      </c>
      <c r="J285" s="47">
        <v>180000</v>
      </c>
      <c r="K285" s="47">
        <f t="shared" si="26"/>
        <v>180000</v>
      </c>
      <c r="L285" s="47">
        <f t="shared" si="23"/>
        <v>3420000</v>
      </c>
      <c r="M285" s="38">
        <v>0</v>
      </c>
      <c r="N285" s="47">
        <f t="shared" si="24"/>
        <v>0</v>
      </c>
      <c r="O285" s="47">
        <f t="shared" si="25"/>
        <v>3420000</v>
      </c>
      <c r="P285" s="38" t="s">
        <v>51</v>
      </c>
      <c r="Q285" s="43" t="s">
        <v>76</v>
      </c>
      <c r="R285" s="27" t="s">
        <v>77</v>
      </c>
      <c r="S285" s="27" t="s">
        <v>71</v>
      </c>
    </row>
    <row r="286" spans="1:19" x14ac:dyDescent="0.3">
      <c r="A286" s="48" t="s">
        <v>681</v>
      </c>
      <c r="B286" s="49">
        <v>45450</v>
      </c>
      <c r="C286" s="39" t="s">
        <v>448</v>
      </c>
      <c r="D286" s="39" t="s">
        <v>154</v>
      </c>
      <c r="E286" s="39" t="s">
        <v>49</v>
      </c>
      <c r="F286" s="39" t="s">
        <v>82</v>
      </c>
      <c r="G286" s="39" t="s">
        <v>77</v>
      </c>
      <c r="H286" s="39" t="s">
        <v>71</v>
      </c>
      <c r="I286" s="50">
        <v>2</v>
      </c>
      <c r="J286" s="51">
        <v>220000</v>
      </c>
      <c r="K286" s="51">
        <f t="shared" si="26"/>
        <v>220000</v>
      </c>
      <c r="L286" s="51">
        <f t="shared" si="23"/>
        <v>440000</v>
      </c>
      <c r="M286" s="39">
        <v>15</v>
      </c>
      <c r="N286" s="51">
        <f t="shared" si="24"/>
        <v>66000</v>
      </c>
      <c r="O286" s="51">
        <f t="shared" si="25"/>
        <v>374000</v>
      </c>
      <c r="P286" s="39" t="s">
        <v>131</v>
      </c>
      <c r="Q286" s="52" t="s">
        <v>82</v>
      </c>
      <c r="R286" s="27" t="s">
        <v>77</v>
      </c>
      <c r="S286" s="27" t="s">
        <v>71</v>
      </c>
    </row>
    <row r="287" spans="1:19" x14ac:dyDescent="0.3">
      <c r="A287" s="44" t="s">
        <v>682</v>
      </c>
      <c r="B287" s="45">
        <v>45540</v>
      </c>
      <c r="C287" s="38" t="s">
        <v>683</v>
      </c>
      <c r="D287" s="38" t="s">
        <v>39</v>
      </c>
      <c r="E287" s="38" t="s">
        <v>70</v>
      </c>
      <c r="F287" s="38" t="s">
        <v>50</v>
      </c>
      <c r="G287" s="38" t="s">
        <v>42</v>
      </c>
      <c r="H287" s="38" t="s">
        <v>238</v>
      </c>
      <c r="I287" s="46">
        <v>20</v>
      </c>
      <c r="J287" s="47">
        <v>18000</v>
      </c>
      <c r="K287" s="47">
        <f t="shared" si="26"/>
        <v>18000</v>
      </c>
      <c r="L287" s="47">
        <f t="shared" si="23"/>
        <v>360000</v>
      </c>
      <c r="M287" s="38">
        <v>5</v>
      </c>
      <c r="N287" s="47">
        <f t="shared" si="24"/>
        <v>18000</v>
      </c>
      <c r="O287" s="47">
        <f t="shared" si="25"/>
        <v>342000</v>
      </c>
      <c r="P287" s="38" t="s">
        <v>86</v>
      </c>
      <c r="Q287" s="43" t="s">
        <v>50</v>
      </c>
      <c r="R287" s="27" t="s">
        <v>42</v>
      </c>
      <c r="S287" s="27" t="s">
        <v>238</v>
      </c>
    </row>
    <row r="288" spans="1:19" x14ac:dyDescent="0.3">
      <c r="A288" s="48" t="s">
        <v>685</v>
      </c>
      <c r="B288" s="49">
        <v>45584</v>
      </c>
      <c r="C288" s="39" t="s">
        <v>686</v>
      </c>
      <c r="D288" s="39" t="s">
        <v>141</v>
      </c>
      <c r="E288" s="39" t="s">
        <v>49</v>
      </c>
      <c r="F288" s="39" t="s">
        <v>50</v>
      </c>
      <c r="G288" s="39" t="s">
        <v>42</v>
      </c>
      <c r="H288" s="39" t="s">
        <v>71</v>
      </c>
      <c r="I288" s="50">
        <v>13</v>
      </c>
      <c r="J288" s="51">
        <v>18000</v>
      </c>
      <c r="K288" s="51">
        <f t="shared" si="26"/>
        <v>18000</v>
      </c>
      <c r="L288" s="51">
        <f t="shared" si="23"/>
        <v>234000</v>
      </c>
      <c r="M288" s="39">
        <v>0</v>
      </c>
      <c r="N288" s="51">
        <f t="shared" si="24"/>
        <v>0</v>
      </c>
      <c r="O288" s="51">
        <f t="shared" si="25"/>
        <v>234000</v>
      </c>
      <c r="P288" s="39" t="s">
        <v>51</v>
      </c>
      <c r="Q288" s="52" t="s">
        <v>50</v>
      </c>
      <c r="R288" s="27" t="s">
        <v>42</v>
      </c>
      <c r="S288" s="27" t="s">
        <v>71</v>
      </c>
    </row>
    <row r="289" spans="1:19" x14ac:dyDescent="0.3">
      <c r="A289" s="44" t="s">
        <v>687</v>
      </c>
      <c r="B289" s="45">
        <v>45579</v>
      </c>
      <c r="C289" s="38" t="s">
        <v>473</v>
      </c>
      <c r="D289" s="38" t="s">
        <v>118</v>
      </c>
      <c r="E289" s="38" t="s">
        <v>56</v>
      </c>
      <c r="F289" s="38" t="s">
        <v>41</v>
      </c>
      <c r="G289" s="38" t="s">
        <v>42</v>
      </c>
      <c r="H289" s="38" t="s">
        <v>71</v>
      </c>
      <c r="I289" s="46">
        <v>10</v>
      </c>
      <c r="J289" s="47">
        <v>35000</v>
      </c>
      <c r="K289" s="47">
        <f t="shared" si="26"/>
        <v>35000</v>
      </c>
      <c r="L289" s="47">
        <f t="shared" si="23"/>
        <v>350000</v>
      </c>
      <c r="M289" s="38">
        <v>20</v>
      </c>
      <c r="N289" s="47">
        <f t="shared" si="24"/>
        <v>70000</v>
      </c>
      <c r="O289" s="47">
        <f t="shared" si="25"/>
        <v>280000</v>
      </c>
      <c r="P289" s="38" t="s">
        <v>51</v>
      </c>
      <c r="Q289" s="43" t="s">
        <v>41</v>
      </c>
      <c r="R289" s="27" t="s">
        <v>42</v>
      </c>
      <c r="S289" s="27" t="s">
        <v>71</v>
      </c>
    </row>
    <row r="290" spans="1:19" x14ac:dyDescent="0.3">
      <c r="A290" s="48" t="s">
        <v>688</v>
      </c>
      <c r="B290" s="49">
        <v>45531</v>
      </c>
      <c r="C290" s="39" t="s">
        <v>689</v>
      </c>
      <c r="D290" s="39" t="s">
        <v>39</v>
      </c>
      <c r="E290" s="39" t="s">
        <v>40</v>
      </c>
      <c r="F290" s="39" t="s">
        <v>92</v>
      </c>
      <c r="G290" s="39" t="s">
        <v>77</v>
      </c>
      <c r="H290" s="39" t="s">
        <v>66</v>
      </c>
      <c r="I290" s="50">
        <v>19</v>
      </c>
      <c r="J290" s="51">
        <v>450000</v>
      </c>
      <c r="K290" s="51">
        <f t="shared" si="26"/>
        <v>450000</v>
      </c>
      <c r="L290" s="51">
        <f t="shared" si="23"/>
        <v>8550000</v>
      </c>
      <c r="M290" s="39">
        <v>0</v>
      </c>
      <c r="N290" s="51">
        <f t="shared" si="24"/>
        <v>0</v>
      </c>
      <c r="O290" s="51">
        <f t="shared" si="25"/>
        <v>8550000</v>
      </c>
      <c r="P290" s="39" t="s">
        <v>51</v>
      </c>
      <c r="Q290" s="52" t="s">
        <v>92</v>
      </c>
      <c r="R290" s="27" t="s">
        <v>77</v>
      </c>
      <c r="S290" s="27" t="s">
        <v>66</v>
      </c>
    </row>
    <row r="291" spans="1:19" x14ac:dyDescent="0.3">
      <c r="A291" s="44" t="s">
        <v>690</v>
      </c>
      <c r="B291" s="45">
        <v>45299</v>
      </c>
      <c r="C291" s="38" t="s">
        <v>691</v>
      </c>
      <c r="D291" s="38" t="s">
        <v>48</v>
      </c>
      <c r="E291" s="38" t="s">
        <v>40</v>
      </c>
      <c r="F291" s="38" t="s">
        <v>92</v>
      </c>
      <c r="G291" s="38" t="s">
        <v>77</v>
      </c>
      <c r="H291" s="38" t="s">
        <v>71</v>
      </c>
      <c r="I291" s="46">
        <v>4</v>
      </c>
      <c r="J291" s="47">
        <v>450000</v>
      </c>
      <c r="K291" s="47">
        <f t="shared" si="26"/>
        <v>450000</v>
      </c>
      <c r="L291" s="47">
        <f t="shared" si="23"/>
        <v>1800000</v>
      </c>
      <c r="M291" s="38">
        <v>15</v>
      </c>
      <c r="N291" s="47">
        <f t="shared" si="24"/>
        <v>270000</v>
      </c>
      <c r="O291" s="47">
        <f t="shared" si="25"/>
        <v>1530000</v>
      </c>
      <c r="P291" s="38" t="s">
        <v>51</v>
      </c>
      <c r="Q291" s="43" t="s">
        <v>92</v>
      </c>
      <c r="R291" s="27" t="s">
        <v>77</v>
      </c>
      <c r="S291" s="27" t="s">
        <v>71</v>
      </c>
    </row>
    <row r="292" spans="1:19" x14ac:dyDescent="0.3">
      <c r="A292" s="48" t="s">
        <v>692</v>
      </c>
      <c r="B292" s="49">
        <v>45319</v>
      </c>
      <c r="C292" s="39" t="s">
        <v>693</v>
      </c>
      <c r="D292" s="39" t="s">
        <v>81</v>
      </c>
      <c r="E292" s="39" t="s">
        <v>49</v>
      </c>
      <c r="F292" s="39" t="s">
        <v>50</v>
      </c>
      <c r="G292" s="39" t="s">
        <v>42</v>
      </c>
      <c r="H292" s="39" t="s">
        <v>66</v>
      </c>
      <c r="I292" s="50">
        <v>12</v>
      </c>
      <c r="J292" s="51">
        <v>18000</v>
      </c>
      <c r="K292" s="51">
        <f t="shared" si="26"/>
        <v>18000</v>
      </c>
      <c r="L292" s="51">
        <f t="shared" si="23"/>
        <v>216000</v>
      </c>
      <c r="M292" s="39">
        <v>20</v>
      </c>
      <c r="N292" s="51">
        <f t="shared" si="24"/>
        <v>43200</v>
      </c>
      <c r="O292" s="51">
        <f t="shared" si="25"/>
        <v>172800</v>
      </c>
      <c r="P292" s="39" t="s">
        <v>131</v>
      </c>
      <c r="Q292" s="52" t="s">
        <v>50</v>
      </c>
      <c r="R292" s="27" t="s">
        <v>42</v>
      </c>
      <c r="S292" s="27" t="s">
        <v>66</v>
      </c>
    </row>
    <row r="293" spans="1:19" x14ac:dyDescent="0.3">
      <c r="A293" s="44" t="s">
        <v>694</v>
      </c>
      <c r="B293" s="45">
        <v>45633</v>
      </c>
      <c r="C293" s="38" t="s">
        <v>695</v>
      </c>
      <c r="D293" s="38" t="s">
        <v>118</v>
      </c>
      <c r="E293" s="38" t="s">
        <v>49</v>
      </c>
      <c r="F293" s="38" t="s">
        <v>82</v>
      </c>
      <c r="G293" s="38" t="s">
        <v>77</v>
      </c>
      <c r="H293" s="38" t="s">
        <v>71</v>
      </c>
      <c r="I293" s="46">
        <v>15</v>
      </c>
      <c r="J293" s="47">
        <v>220000</v>
      </c>
      <c r="K293" s="47">
        <f t="shared" si="26"/>
        <v>220000</v>
      </c>
      <c r="L293" s="47">
        <f t="shared" si="23"/>
        <v>3300000</v>
      </c>
      <c r="M293" s="38">
        <v>0</v>
      </c>
      <c r="N293" s="47">
        <f t="shared" si="24"/>
        <v>0</v>
      </c>
      <c r="O293" s="47">
        <f t="shared" si="25"/>
        <v>3300000</v>
      </c>
      <c r="P293" s="38" t="s">
        <v>51</v>
      </c>
      <c r="Q293" s="43" t="s">
        <v>82</v>
      </c>
      <c r="R293" s="27" t="s">
        <v>77</v>
      </c>
      <c r="S293" s="27" t="s">
        <v>71</v>
      </c>
    </row>
    <row r="294" spans="1:19" x14ac:dyDescent="0.3">
      <c r="A294" s="48" t="s">
        <v>696</v>
      </c>
      <c r="B294" s="49">
        <v>45588</v>
      </c>
      <c r="C294" s="39" t="s">
        <v>697</v>
      </c>
      <c r="D294" s="39" t="s">
        <v>154</v>
      </c>
      <c r="E294" s="39" t="s">
        <v>40</v>
      </c>
      <c r="F294" s="39" t="s">
        <v>99</v>
      </c>
      <c r="G294" s="39" t="s">
        <v>77</v>
      </c>
      <c r="H294" s="39" t="s">
        <v>71</v>
      </c>
      <c r="I294" s="50">
        <v>10</v>
      </c>
      <c r="J294" s="51">
        <v>95000</v>
      </c>
      <c r="K294" s="51">
        <f t="shared" si="26"/>
        <v>95000</v>
      </c>
      <c r="L294" s="51">
        <f t="shared" si="23"/>
        <v>950000</v>
      </c>
      <c r="M294" s="39">
        <v>0</v>
      </c>
      <c r="N294" s="51">
        <f t="shared" si="24"/>
        <v>0</v>
      </c>
      <c r="O294" s="51">
        <f t="shared" si="25"/>
        <v>950000</v>
      </c>
      <c r="P294" s="39" t="s">
        <v>51</v>
      </c>
      <c r="Q294" s="52" t="s">
        <v>99</v>
      </c>
      <c r="R294" s="27" t="s">
        <v>77</v>
      </c>
      <c r="S294" s="27" t="s">
        <v>71</v>
      </c>
    </row>
    <row r="295" spans="1:19" x14ac:dyDescent="0.3">
      <c r="A295" s="44" t="s">
        <v>698</v>
      </c>
      <c r="B295" s="45">
        <v>45336</v>
      </c>
      <c r="C295" s="38" t="s">
        <v>699</v>
      </c>
      <c r="D295" s="38" t="s">
        <v>39</v>
      </c>
      <c r="E295" s="38" t="s">
        <v>49</v>
      </c>
      <c r="F295" s="38" t="s">
        <v>92</v>
      </c>
      <c r="G295" s="38" t="s">
        <v>77</v>
      </c>
      <c r="H295" s="38" t="s">
        <v>71</v>
      </c>
      <c r="I295" s="46">
        <v>2</v>
      </c>
      <c r="J295" s="47">
        <v>450000</v>
      </c>
      <c r="K295" s="47">
        <f t="shared" si="26"/>
        <v>450000</v>
      </c>
      <c r="L295" s="47">
        <f t="shared" si="23"/>
        <v>900000</v>
      </c>
      <c r="M295" s="38">
        <v>15</v>
      </c>
      <c r="N295" s="47">
        <f t="shared" si="24"/>
        <v>135000</v>
      </c>
      <c r="O295" s="47">
        <f t="shared" si="25"/>
        <v>765000</v>
      </c>
      <c r="P295" s="38" t="s">
        <v>51</v>
      </c>
      <c r="Q295" s="43" t="s">
        <v>92</v>
      </c>
      <c r="R295" s="27" t="s">
        <v>77</v>
      </c>
      <c r="S295" s="27" t="s">
        <v>71</v>
      </c>
    </row>
    <row r="296" spans="1:19" x14ac:dyDescent="0.3">
      <c r="A296" s="48" t="s">
        <v>700</v>
      </c>
      <c r="B296" s="49">
        <v>45561</v>
      </c>
      <c r="C296" s="39" t="s">
        <v>701</v>
      </c>
      <c r="D296" s="39" t="s">
        <v>81</v>
      </c>
      <c r="E296" s="39" t="s">
        <v>49</v>
      </c>
      <c r="F296" s="39" t="s">
        <v>50</v>
      </c>
      <c r="G296" s="39" t="s">
        <v>42</v>
      </c>
      <c r="H296" s="39" t="s">
        <v>71</v>
      </c>
      <c r="I296" s="50">
        <v>17</v>
      </c>
      <c r="J296" s="51">
        <v>18000</v>
      </c>
      <c r="K296" s="51">
        <f t="shared" si="26"/>
        <v>18000</v>
      </c>
      <c r="L296" s="51">
        <f t="shared" si="23"/>
        <v>306000</v>
      </c>
      <c r="M296" s="39">
        <v>10</v>
      </c>
      <c r="N296" s="51">
        <f t="shared" si="24"/>
        <v>30600</v>
      </c>
      <c r="O296" s="51">
        <f t="shared" si="25"/>
        <v>275400</v>
      </c>
      <c r="P296" s="39" t="s">
        <v>51</v>
      </c>
      <c r="Q296" s="52" t="s">
        <v>50</v>
      </c>
      <c r="R296" s="27" t="s">
        <v>42</v>
      </c>
      <c r="S296" s="27" t="s">
        <v>71</v>
      </c>
    </row>
    <row r="297" spans="1:19" x14ac:dyDescent="0.3">
      <c r="A297" s="44" t="s">
        <v>702</v>
      </c>
      <c r="B297" s="45">
        <v>45497</v>
      </c>
      <c r="C297" s="38" t="s">
        <v>703</v>
      </c>
      <c r="D297" s="38" t="s">
        <v>55</v>
      </c>
      <c r="E297" s="38" t="s">
        <v>49</v>
      </c>
      <c r="F297" s="38" t="s">
        <v>76</v>
      </c>
      <c r="G297" s="38" t="s">
        <v>77</v>
      </c>
      <c r="H297" s="38" t="s">
        <v>71</v>
      </c>
      <c r="I297" s="46">
        <v>11</v>
      </c>
      <c r="J297" s="47">
        <v>180000</v>
      </c>
      <c r="K297" s="47">
        <f t="shared" si="26"/>
        <v>180000</v>
      </c>
      <c r="L297" s="47">
        <f t="shared" si="23"/>
        <v>1980000</v>
      </c>
      <c r="M297" s="38">
        <v>0</v>
      </c>
      <c r="N297" s="47">
        <f t="shared" si="24"/>
        <v>0</v>
      </c>
      <c r="O297" s="47">
        <f t="shared" si="25"/>
        <v>1980000</v>
      </c>
      <c r="P297" s="38" t="s">
        <v>44</v>
      </c>
      <c r="Q297" s="43" t="s">
        <v>76</v>
      </c>
      <c r="R297" s="27" t="s">
        <v>77</v>
      </c>
      <c r="S297" s="27" t="s">
        <v>71</v>
      </c>
    </row>
    <row r="298" spans="1:19" x14ac:dyDescent="0.3">
      <c r="A298" s="48" t="s">
        <v>704</v>
      </c>
      <c r="B298" s="49">
        <v>45570</v>
      </c>
      <c r="C298" s="39" t="s">
        <v>705</v>
      </c>
      <c r="D298" s="39" t="s">
        <v>118</v>
      </c>
      <c r="E298" s="39" t="s">
        <v>40</v>
      </c>
      <c r="F298" s="39" t="s">
        <v>61</v>
      </c>
      <c r="G298" s="39" t="s">
        <v>42</v>
      </c>
      <c r="H298" s="39" t="s">
        <v>66</v>
      </c>
      <c r="I298" s="50">
        <v>11</v>
      </c>
      <c r="J298" s="51">
        <v>22000</v>
      </c>
      <c r="K298" s="51">
        <f t="shared" si="26"/>
        <v>22000</v>
      </c>
      <c r="L298" s="51">
        <f t="shared" si="23"/>
        <v>242000</v>
      </c>
      <c r="M298" s="39">
        <v>20</v>
      </c>
      <c r="N298" s="51">
        <f t="shared" si="24"/>
        <v>48400</v>
      </c>
      <c r="O298" s="51">
        <f t="shared" si="25"/>
        <v>193600</v>
      </c>
      <c r="P298" s="39" t="s">
        <v>51</v>
      </c>
      <c r="Q298" s="52" t="s">
        <v>61</v>
      </c>
      <c r="R298" s="27" t="s">
        <v>42</v>
      </c>
      <c r="S298" s="27" t="s">
        <v>66</v>
      </c>
    </row>
    <row r="299" spans="1:19" x14ac:dyDescent="0.3">
      <c r="A299" s="44" t="s">
        <v>706</v>
      </c>
      <c r="B299" s="45">
        <v>45501</v>
      </c>
      <c r="C299" s="38" t="s">
        <v>707</v>
      </c>
      <c r="D299" s="38" t="s">
        <v>75</v>
      </c>
      <c r="E299" s="38" t="s">
        <v>40</v>
      </c>
      <c r="F299" s="38" t="s">
        <v>92</v>
      </c>
      <c r="G299" s="38" t="s">
        <v>77</v>
      </c>
      <c r="H299" s="38" t="s">
        <v>66</v>
      </c>
      <c r="I299" s="46">
        <v>9</v>
      </c>
      <c r="J299" s="47">
        <v>450000</v>
      </c>
      <c r="K299" s="47">
        <f t="shared" si="26"/>
        <v>450000</v>
      </c>
      <c r="L299" s="47">
        <f t="shared" si="23"/>
        <v>4050000</v>
      </c>
      <c r="M299" s="38">
        <v>5</v>
      </c>
      <c r="N299" s="47">
        <f t="shared" si="24"/>
        <v>202500</v>
      </c>
      <c r="O299" s="47">
        <f t="shared" si="25"/>
        <v>3847500</v>
      </c>
      <c r="P299" s="38" t="s">
        <v>131</v>
      </c>
      <c r="Q299" s="43" t="s">
        <v>92</v>
      </c>
      <c r="R299" s="27" t="s">
        <v>77</v>
      </c>
      <c r="S299" s="27" t="s">
        <v>66</v>
      </c>
    </row>
    <row r="300" spans="1:19" x14ac:dyDescent="0.3">
      <c r="A300" s="48" t="s">
        <v>708</v>
      </c>
      <c r="B300" s="49">
        <v>45618</v>
      </c>
      <c r="C300" s="39" t="s">
        <v>709</v>
      </c>
      <c r="D300" s="39" t="s">
        <v>48</v>
      </c>
      <c r="E300" s="39" t="s">
        <v>56</v>
      </c>
      <c r="F300" s="39" t="s">
        <v>57</v>
      </c>
      <c r="G300" s="39" t="s">
        <v>42</v>
      </c>
      <c r="H300" s="39" t="s">
        <v>71</v>
      </c>
      <c r="I300" s="50">
        <v>13</v>
      </c>
      <c r="J300" s="51">
        <v>28000</v>
      </c>
      <c r="K300" s="51">
        <f t="shared" si="26"/>
        <v>28000</v>
      </c>
      <c r="L300" s="51">
        <f t="shared" si="23"/>
        <v>364000</v>
      </c>
      <c r="M300" s="39">
        <v>0</v>
      </c>
      <c r="N300" s="51">
        <f t="shared" si="24"/>
        <v>0</v>
      </c>
      <c r="O300" s="51">
        <f t="shared" si="25"/>
        <v>364000</v>
      </c>
      <c r="P300" s="39" t="s">
        <v>51</v>
      </c>
      <c r="Q300" s="52" t="s">
        <v>57</v>
      </c>
      <c r="R300" s="27" t="s">
        <v>42</v>
      </c>
      <c r="S300" s="27" t="s">
        <v>71</v>
      </c>
    </row>
    <row r="301" spans="1:19" x14ac:dyDescent="0.3">
      <c r="A301" s="44" t="s">
        <v>710</v>
      </c>
      <c r="B301" s="45">
        <v>45425</v>
      </c>
      <c r="C301" s="38" t="s">
        <v>711</v>
      </c>
      <c r="D301" s="38" t="s">
        <v>118</v>
      </c>
      <c r="E301" s="38" t="s">
        <v>49</v>
      </c>
      <c r="F301" s="38" t="s">
        <v>50</v>
      </c>
      <c r="G301" s="38" t="s">
        <v>42</v>
      </c>
      <c r="H301" s="38" t="s">
        <v>66</v>
      </c>
      <c r="I301" s="46">
        <v>12</v>
      </c>
      <c r="J301" s="47">
        <v>18000</v>
      </c>
      <c r="K301" s="47">
        <f t="shared" si="26"/>
        <v>18000</v>
      </c>
      <c r="L301" s="47">
        <f t="shared" si="23"/>
        <v>216000</v>
      </c>
      <c r="M301" s="38">
        <v>0</v>
      </c>
      <c r="N301" s="47">
        <f t="shared" si="24"/>
        <v>0</v>
      </c>
      <c r="O301" s="47">
        <f t="shared" si="25"/>
        <v>216000</v>
      </c>
      <c r="P301" s="38" t="s">
        <v>51</v>
      </c>
      <c r="Q301" s="43" t="s">
        <v>50</v>
      </c>
      <c r="R301" s="27" t="s">
        <v>42</v>
      </c>
      <c r="S301" s="27" t="s">
        <v>66</v>
      </c>
    </row>
    <row r="302" spans="1:19" x14ac:dyDescent="0.3">
      <c r="A302" s="48" t="s">
        <v>712</v>
      </c>
      <c r="B302" s="49">
        <v>45542</v>
      </c>
      <c r="C302" s="39" t="s">
        <v>713</v>
      </c>
      <c r="D302" s="39" t="s">
        <v>55</v>
      </c>
      <c r="E302" s="39" t="s">
        <v>40</v>
      </c>
      <c r="F302" s="39" t="s">
        <v>92</v>
      </c>
      <c r="G302" s="39" t="s">
        <v>77</v>
      </c>
      <c r="H302" s="39" t="s">
        <v>43</v>
      </c>
      <c r="I302" s="50">
        <v>17</v>
      </c>
      <c r="J302" s="51">
        <v>450000</v>
      </c>
      <c r="K302" s="51">
        <f t="shared" si="26"/>
        <v>450000</v>
      </c>
      <c r="L302" s="51">
        <f t="shared" si="23"/>
        <v>7650000</v>
      </c>
      <c r="M302" s="39">
        <v>10</v>
      </c>
      <c r="N302" s="51">
        <f t="shared" si="24"/>
        <v>765000</v>
      </c>
      <c r="O302" s="51">
        <f t="shared" si="25"/>
        <v>6885000</v>
      </c>
      <c r="P302" s="39" t="s">
        <v>44</v>
      </c>
      <c r="Q302" s="52" t="s">
        <v>92</v>
      </c>
      <c r="R302" s="27" t="s">
        <v>77</v>
      </c>
      <c r="S302" s="27" t="s">
        <v>43</v>
      </c>
    </row>
    <row r="303" spans="1:19" x14ac:dyDescent="0.3">
      <c r="A303" s="44" t="s">
        <v>714</v>
      </c>
      <c r="B303" s="45">
        <v>45572</v>
      </c>
      <c r="C303" s="38" t="s">
        <v>715</v>
      </c>
      <c r="D303" s="38" t="s">
        <v>141</v>
      </c>
      <c r="E303" s="38" t="s">
        <v>49</v>
      </c>
      <c r="F303" s="38" t="s">
        <v>92</v>
      </c>
      <c r="G303" s="38" t="s">
        <v>77</v>
      </c>
      <c r="H303" s="38" t="s">
        <v>66</v>
      </c>
      <c r="I303" s="46">
        <v>9</v>
      </c>
      <c r="J303" s="47">
        <v>450000</v>
      </c>
      <c r="K303" s="47">
        <f t="shared" si="26"/>
        <v>450000</v>
      </c>
      <c r="L303" s="47">
        <f t="shared" si="23"/>
        <v>4050000</v>
      </c>
      <c r="M303" s="38">
        <v>0</v>
      </c>
      <c r="N303" s="47">
        <f t="shared" si="24"/>
        <v>0</v>
      </c>
      <c r="O303" s="47">
        <f t="shared" si="25"/>
        <v>4050000</v>
      </c>
      <c r="P303" s="38" t="s">
        <v>51</v>
      </c>
      <c r="Q303" s="43" t="s">
        <v>92</v>
      </c>
      <c r="R303" s="27" t="s">
        <v>77</v>
      </c>
      <c r="S303" s="27" t="s">
        <v>66</v>
      </c>
    </row>
    <row r="304" spans="1:19" x14ac:dyDescent="0.3">
      <c r="A304" s="48" t="s">
        <v>716</v>
      </c>
      <c r="B304" s="49">
        <v>45376</v>
      </c>
      <c r="C304" s="39" t="s">
        <v>717</v>
      </c>
      <c r="D304" s="39" t="s">
        <v>48</v>
      </c>
      <c r="E304" s="39" t="s">
        <v>40</v>
      </c>
      <c r="F304" s="39" t="s">
        <v>76</v>
      </c>
      <c r="G304" s="39" t="s">
        <v>77</v>
      </c>
      <c r="H304" s="39" t="s">
        <v>43</v>
      </c>
      <c r="I304" s="50">
        <v>2</v>
      </c>
      <c r="J304" s="51">
        <v>180000</v>
      </c>
      <c r="K304" s="51">
        <f t="shared" si="26"/>
        <v>180000</v>
      </c>
      <c r="L304" s="51">
        <f t="shared" si="23"/>
        <v>360000</v>
      </c>
      <c r="M304" s="39">
        <v>0</v>
      </c>
      <c r="N304" s="51">
        <f t="shared" si="24"/>
        <v>0</v>
      </c>
      <c r="O304" s="51">
        <f t="shared" si="25"/>
        <v>360000</v>
      </c>
      <c r="P304" s="39" t="s">
        <v>51</v>
      </c>
      <c r="Q304" s="52" t="s">
        <v>76</v>
      </c>
      <c r="R304" s="27" t="s">
        <v>77</v>
      </c>
      <c r="S304" s="27" t="s">
        <v>43</v>
      </c>
    </row>
    <row r="305" spans="1:19" x14ac:dyDescent="0.3">
      <c r="A305" s="44" t="s">
        <v>718</v>
      </c>
      <c r="B305" s="45">
        <v>45616</v>
      </c>
      <c r="C305" s="38" t="s">
        <v>719</v>
      </c>
      <c r="D305" s="38" t="s">
        <v>65</v>
      </c>
      <c r="E305" s="38" t="s">
        <v>70</v>
      </c>
      <c r="F305" s="38" t="s">
        <v>50</v>
      </c>
      <c r="G305" s="38" t="s">
        <v>42</v>
      </c>
      <c r="H305" s="38" t="s">
        <v>71</v>
      </c>
      <c r="I305" s="46">
        <v>17</v>
      </c>
      <c r="J305" s="47">
        <v>18000</v>
      </c>
      <c r="K305" s="47">
        <f t="shared" si="26"/>
        <v>18000</v>
      </c>
      <c r="L305" s="47">
        <f t="shared" si="23"/>
        <v>306000</v>
      </c>
      <c r="M305" s="38">
        <v>15</v>
      </c>
      <c r="N305" s="47">
        <f t="shared" si="24"/>
        <v>45900</v>
      </c>
      <c r="O305" s="47">
        <f t="shared" si="25"/>
        <v>260100</v>
      </c>
      <c r="P305" s="38" t="s">
        <v>131</v>
      </c>
      <c r="Q305" s="43" t="s">
        <v>50</v>
      </c>
      <c r="R305" s="27" t="s">
        <v>42</v>
      </c>
      <c r="S305" s="27" t="s">
        <v>71</v>
      </c>
    </row>
    <row r="306" spans="1:19" x14ac:dyDescent="0.3">
      <c r="A306" s="48" t="s">
        <v>720</v>
      </c>
      <c r="B306" s="49">
        <v>45337</v>
      </c>
      <c r="C306" s="39" t="s">
        <v>721</v>
      </c>
      <c r="D306" s="39" t="s">
        <v>65</v>
      </c>
      <c r="E306" s="39" t="s">
        <v>40</v>
      </c>
      <c r="F306" s="39" t="s">
        <v>92</v>
      </c>
      <c r="G306" s="39" t="s">
        <v>77</v>
      </c>
      <c r="H306" s="39" t="s">
        <v>71</v>
      </c>
      <c r="I306" s="50">
        <v>11</v>
      </c>
      <c r="J306" s="51">
        <v>450000</v>
      </c>
      <c r="K306" s="51">
        <f t="shared" si="26"/>
        <v>450000</v>
      </c>
      <c r="L306" s="51">
        <f t="shared" si="23"/>
        <v>4950000</v>
      </c>
      <c r="M306" s="39">
        <v>20</v>
      </c>
      <c r="N306" s="51">
        <f t="shared" si="24"/>
        <v>990000</v>
      </c>
      <c r="O306" s="51">
        <f t="shared" si="25"/>
        <v>3960000</v>
      </c>
      <c r="P306" s="39" t="s">
        <v>131</v>
      </c>
      <c r="Q306" s="52" t="s">
        <v>92</v>
      </c>
      <c r="R306" s="27" t="s">
        <v>77</v>
      </c>
      <c r="S306" s="27" t="s">
        <v>71</v>
      </c>
    </row>
    <row r="307" spans="1:19" x14ac:dyDescent="0.3">
      <c r="A307" s="44" t="s">
        <v>722</v>
      </c>
      <c r="B307" s="45">
        <v>45482</v>
      </c>
      <c r="C307" s="38" t="s">
        <v>723</v>
      </c>
      <c r="D307" s="38" t="s">
        <v>154</v>
      </c>
      <c r="E307" s="38" t="s">
        <v>40</v>
      </c>
      <c r="F307" s="38" t="s">
        <v>41</v>
      </c>
      <c r="G307" s="38" t="s">
        <v>42</v>
      </c>
      <c r="H307" s="38" t="s">
        <v>43</v>
      </c>
      <c r="I307" s="46">
        <v>9</v>
      </c>
      <c r="J307" s="47">
        <v>35000</v>
      </c>
      <c r="K307" s="47">
        <f t="shared" si="26"/>
        <v>35000</v>
      </c>
      <c r="L307" s="47">
        <f t="shared" si="23"/>
        <v>315000</v>
      </c>
      <c r="M307" s="38">
        <v>20</v>
      </c>
      <c r="N307" s="47">
        <f t="shared" si="24"/>
        <v>63000</v>
      </c>
      <c r="O307" s="47">
        <f t="shared" si="25"/>
        <v>252000</v>
      </c>
      <c r="P307" s="38" t="s">
        <v>51</v>
      </c>
      <c r="Q307" s="43" t="s">
        <v>41</v>
      </c>
      <c r="R307" s="27" t="s">
        <v>42</v>
      </c>
      <c r="S307" s="27" t="s">
        <v>43</v>
      </c>
    </row>
    <row r="308" spans="1:19" x14ac:dyDescent="0.3">
      <c r="A308" s="48" t="s">
        <v>724</v>
      </c>
      <c r="B308" s="49">
        <v>45406</v>
      </c>
      <c r="C308" s="39" t="s">
        <v>725</v>
      </c>
      <c r="D308" s="39" t="s">
        <v>81</v>
      </c>
      <c r="E308" s="39" t="s">
        <v>70</v>
      </c>
      <c r="F308" s="39" t="s">
        <v>99</v>
      </c>
      <c r="G308" s="39" t="s">
        <v>77</v>
      </c>
      <c r="H308" s="39" t="s">
        <v>71</v>
      </c>
      <c r="I308" s="50">
        <v>3</v>
      </c>
      <c r="J308" s="51">
        <v>95000</v>
      </c>
      <c r="K308" s="51">
        <f t="shared" ref="K308:K327" si="27">J308</f>
        <v>95000</v>
      </c>
      <c r="L308" s="51">
        <f t="shared" si="23"/>
        <v>285000</v>
      </c>
      <c r="M308" s="39">
        <v>0</v>
      </c>
      <c r="N308" s="51">
        <f t="shared" si="24"/>
        <v>0</v>
      </c>
      <c r="O308" s="51">
        <f t="shared" si="25"/>
        <v>285000</v>
      </c>
      <c r="P308" s="39" t="s">
        <v>86</v>
      </c>
      <c r="Q308" s="52" t="s">
        <v>99</v>
      </c>
      <c r="R308" s="27" t="s">
        <v>77</v>
      </c>
      <c r="S308" s="27" t="s">
        <v>71</v>
      </c>
    </row>
    <row r="309" spans="1:19" x14ac:dyDescent="0.3">
      <c r="A309" s="44" t="s">
        <v>726</v>
      </c>
      <c r="B309" s="45">
        <v>45301</v>
      </c>
      <c r="C309" s="38" t="s">
        <v>452</v>
      </c>
      <c r="D309" s="38" t="s">
        <v>118</v>
      </c>
      <c r="E309" s="38" t="s">
        <v>49</v>
      </c>
      <c r="F309" s="38" t="s">
        <v>57</v>
      </c>
      <c r="G309" s="38" t="s">
        <v>42</v>
      </c>
      <c r="H309" s="38" t="s">
        <v>43</v>
      </c>
      <c r="I309" s="46">
        <v>3</v>
      </c>
      <c r="J309" s="47">
        <v>28000</v>
      </c>
      <c r="K309" s="47">
        <f t="shared" si="27"/>
        <v>28000</v>
      </c>
      <c r="L309" s="47">
        <f t="shared" si="23"/>
        <v>84000</v>
      </c>
      <c r="M309" s="38">
        <v>20</v>
      </c>
      <c r="N309" s="47">
        <f t="shared" si="24"/>
        <v>16800</v>
      </c>
      <c r="O309" s="47">
        <f t="shared" si="25"/>
        <v>67200</v>
      </c>
      <c r="P309" s="38" t="s">
        <v>51</v>
      </c>
      <c r="Q309" s="43" t="s">
        <v>57</v>
      </c>
      <c r="R309" s="27" t="s">
        <v>42</v>
      </c>
      <c r="S309" s="27" t="s">
        <v>43</v>
      </c>
    </row>
    <row r="310" spans="1:19" x14ac:dyDescent="0.3">
      <c r="A310" s="48" t="s">
        <v>727</v>
      </c>
      <c r="B310" s="49">
        <v>45646</v>
      </c>
      <c r="C310" s="39" t="s">
        <v>728</v>
      </c>
      <c r="D310" s="39" t="s">
        <v>55</v>
      </c>
      <c r="E310" s="39" t="s">
        <v>49</v>
      </c>
      <c r="F310" s="39" t="s">
        <v>41</v>
      </c>
      <c r="G310" s="39" t="s">
        <v>42</v>
      </c>
      <c r="H310" s="39" t="s">
        <v>71</v>
      </c>
      <c r="I310" s="50">
        <v>17</v>
      </c>
      <c r="J310" s="51">
        <v>35000</v>
      </c>
      <c r="K310" s="51">
        <f t="shared" si="27"/>
        <v>35000</v>
      </c>
      <c r="L310" s="51">
        <f t="shared" si="23"/>
        <v>595000</v>
      </c>
      <c r="M310" s="39">
        <v>15</v>
      </c>
      <c r="N310" s="51">
        <f t="shared" si="24"/>
        <v>89250</v>
      </c>
      <c r="O310" s="51">
        <f t="shared" si="25"/>
        <v>505750</v>
      </c>
      <c r="P310" s="39" t="s">
        <v>51</v>
      </c>
      <c r="Q310" s="52" t="s">
        <v>41</v>
      </c>
      <c r="R310" s="27" t="s">
        <v>42</v>
      </c>
      <c r="S310" s="27" t="s">
        <v>71</v>
      </c>
    </row>
    <row r="311" spans="1:19" x14ac:dyDescent="0.3">
      <c r="A311" s="44" t="s">
        <v>729</v>
      </c>
      <c r="B311" s="45">
        <v>45488</v>
      </c>
      <c r="C311" s="38" t="s">
        <v>730</v>
      </c>
      <c r="D311" s="38" t="s">
        <v>118</v>
      </c>
      <c r="E311" s="38" t="s">
        <v>49</v>
      </c>
      <c r="F311" s="38" t="s">
        <v>61</v>
      </c>
      <c r="G311" s="38" t="s">
        <v>42</v>
      </c>
      <c r="H311" s="38" t="s">
        <v>66</v>
      </c>
      <c r="I311" s="46">
        <v>15</v>
      </c>
      <c r="J311" s="47">
        <v>22000</v>
      </c>
      <c r="K311" s="47">
        <f t="shared" si="27"/>
        <v>22000</v>
      </c>
      <c r="L311" s="47">
        <f t="shared" si="23"/>
        <v>330000</v>
      </c>
      <c r="M311" s="38">
        <v>0</v>
      </c>
      <c r="N311" s="47">
        <f t="shared" si="24"/>
        <v>0</v>
      </c>
      <c r="O311" s="47">
        <f t="shared" si="25"/>
        <v>330000</v>
      </c>
      <c r="P311" s="38" t="s">
        <v>44</v>
      </c>
      <c r="Q311" s="43" t="s">
        <v>61</v>
      </c>
      <c r="R311" s="27" t="s">
        <v>42</v>
      </c>
      <c r="S311" s="27" t="s">
        <v>66</v>
      </c>
    </row>
    <row r="312" spans="1:19" x14ac:dyDescent="0.3">
      <c r="A312" s="48" t="s">
        <v>731</v>
      </c>
      <c r="B312" s="49">
        <v>45540</v>
      </c>
      <c r="C312" s="39" t="s">
        <v>427</v>
      </c>
      <c r="D312" s="39" t="s">
        <v>81</v>
      </c>
      <c r="E312" s="39" t="s">
        <v>56</v>
      </c>
      <c r="F312" s="39" t="s">
        <v>61</v>
      </c>
      <c r="G312" s="39" t="s">
        <v>42</v>
      </c>
      <c r="H312" s="39" t="s">
        <v>71</v>
      </c>
      <c r="I312" s="50">
        <v>8</v>
      </c>
      <c r="J312" s="51">
        <v>22000</v>
      </c>
      <c r="K312" s="51">
        <f t="shared" si="27"/>
        <v>22000</v>
      </c>
      <c r="L312" s="51">
        <f t="shared" si="23"/>
        <v>176000</v>
      </c>
      <c r="M312" s="39">
        <v>5</v>
      </c>
      <c r="N312" s="51">
        <f t="shared" si="24"/>
        <v>8800</v>
      </c>
      <c r="O312" s="51">
        <f t="shared" si="25"/>
        <v>167200</v>
      </c>
      <c r="P312" s="39" t="s">
        <v>51</v>
      </c>
      <c r="Q312" s="52" t="s">
        <v>61</v>
      </c>
      <c r="R312" s="27" t="s">
        <v>42</v>
      </c>
      <c r="S312" s="27" t="s">
        <v>71</v>
      </c>
    </row>
    <row r="313" spans="1:19" x14ac:dyDescent="0.3">
      <c r="A313" s="44" t="s">
        <v>732</v>
      </c>
      <c r="B313" s="45">
        <v>45526</v>
      </c>
      <c r="C313" s="38" t="s">
        <v>733</v>
      </c>
      <c r="D313" s="38" t="s">
        <v>81</v>
      </c>
      <c r="E313" s="38" t="s">
        <v>70</v>
      </c>
      <c r="F313" s="38" t="s">
        <v>92</v>
      </c>
      <c r="G313" s="38" t="s">
        <v>77</v>
      </c>
      <c r="H313" s="38" t="s">
        <v>71</v>
      </c>
      <c r="I313" s="46">
        <v>15</v>
      </c>
      <c r="J313" s="47">
        <v>450000</v>
      </c>
      <c r="K313" s="47">
        <f t="shared" si="27"/>
        <v>450000</v>
      </c>
      <c r="L313" s="47">
        <f t="shared" si="23"/>
        <v>6750000</v>
      </c>
      <c r="M313" s="38">
        <v>5</v>
      </c>
      <c r="N313" s="47">
        <f t="shared" si="24"/>
        <v>337500</v>
      </c>
      <c r="O313" s="47">
        <f t="shared" si="25"/>
        <v>6412500</v>
      </c>
      <c r="P313" s="38" t="s">
        <v>86</v>
      </c>
      <c r="Q313" s="43" t="s">
        <v>92</v>
      </c>
      <c r="R313" s="27" t="s">
        <v>77</v>
      </c>
      <c r="S313" s="27" t="s">
        <v>71</v>
      </c>
    </row>
    <row r="314" spans="1:19" x14ac:dyDescent="0.3">
      <c r="A314" s="48" t="s">
        <v>734</v>
      </c>
      <c r="B314" s="49">
        <v>45338</v>
      </c>
      <c r="C314" s="39" t="s">
        <v>735</v>
      </c>
      <c r="D314" s="39" t="s">
        <v>48</v>
      </c>
      <c r="E314" s="39" t="s">
        <v>40</v>
      </c>
      <c r="F314" s="39" t="s">
        <v>57</v>
      </c>
      <c r="G314" s="39" t="s">
        <v>42</v>
      </c>
      <c r="H314" s="39" t="s">
        <v>43</v>
      </c>
      <c r="I314" s="50">
        <v>15</v>
      </c>
      <c r="J314" s="51">
        <v>28000</v>
      </c>
      <c r="K314" s="51">
        <f t="shared" si="27"/>
        <v>28000</v>
      </c>
      <c r="L314" s="51">
        <f t="shared" si="23"/>
        <v>420000</v>
      </c>
      <c r="M314" s="39">
        <v>20</v>
      </c>
      <c r="N314" s="51">
        <f t="shared" si="24"/>
        <v>84000</v>
      </c>
      <c r="O314" s="51">
        <f t="shared" si="25"/>
        <v>336000</v>
      </c>
      <c r="P314" s="39" t="s">
        <v>131</v>
      </c>
      <c r="Q314" s="52" t="s">
        <v>57</v>
      </c>
      <c r="R314" s="27" t="s">
        <v>42</v>
      </c>
      <c r="S314" s="27" t="s">
        <v>43</v>
      </c>
    </row>
    <row r="315" spans="1:19" x14ac:dyDescent="0.3">
      <c r="A315" s="44" t="s">
        <v>736</v>
      </c>
      <c r="B315" s="45">
        <v>45600</v>
      </c>
      <c r="C315" s="38" t="s">
        <v>737</v>
      </c>
      <c r="D315" s="38" t="s">
        <v>81</v>
      </c>
      <c r="E315" s="38" t="s">
        <v>49</v>
      </c>
      <c r="F315" s="38" t="s">
        <v>61</v>
      </c>
      <c r="G315" s="38" t="s">
        <v>42</v>
      </c>
      <c r="H315" s="38" t="s">
        <v>66</v>
      </c>
      <c r="I315" s="46">
        <v>18</v>
      </c>
      <c r="J315" s="47">
        <v>22000</v>
      </c>
      <c r="K315" s="47">
        <f t="shared" si="27"/>
        <v>22000</v>
      </c>
      <c r="L315" s="47">
        <f t="shared" si="23"/>
        <v>396000</v>
      </c>
      <c r="M315" s="38">
        <v>0</v>
      </c>
      <c r="N315" s="47">
        <f t="shared" si="24"/>
        <v>0</v>
      </c>
      <c r="O315" s="47">
        <f t="shared" si="25"/>
        <v>396000</v>
      </c>
      <c r="P315" s="38" t="s">
        <v>51</v>
      </c>
      <c r="Q315" s="43" t="s">
        <v>61</v>
      </c>
      <c r="R315" s="27" t="s">
        <v>42</v>
      </c>
      <c r="S315" s="27" t="s">
        <v>66</v>
      </c>
    </row>
    <row r="316" spans="1:19" x14ac:dyDescent="0.3">
      <c r="A316" s="48" t="s">
        <v>738</v>
      </c>
      <c r="B316" s="49">
        <v>45386</v>
      </c>
      <c r="C316" s="39" t="s">
        <v>739</v>
      </c>
      <c r="D316" s="39" t="s">
        <v>118</v>
      </c>
      <c r="E316" s="39" t="s">
        <v>70</v>
      </c>
      <c r="F316" s="39" t="s">
        <v>57</v>
      </c>
      <c r="G316" s="39" t="s">
        <v>42</v>
      </c>
      <c r="H316" s="39" t="s">
        <v>66</v>
      </c>
      <c r="I316" s="50">
        <v>10</v>
      </c>
      <c r="J316" s="51">
        <v>28000</v>
      </c>
      <c r="K316" s="51">
        <f t="shared" si="27"/>
        <v>28000</v>
      </c>
      <c r="L316" s="51">
        <f t="shared" si="23"/>
        <v>280000</v>
      </c>
      <c r="M316" s="39">
        <v>0</v>
      </c>
      <c r="N316" s="51">
        <f t="shared" si="24"/>
        <v>0</v>
      </c>
      <c r="O316" s="51">
        <f t="shared" si="25"/>
        <v>280000</v>
      </c>
      <c r="P316" s="39" t="s">
        <v>131</v>
      </c>
      <c r="Q316" s="52" t="s">
        <v>57</v>
      </c>
      <c r="R316" s="27" t="s">
        <v>42</v>
      </c>
      <c r="S316" s="27" t="s">
        <v>66</v>
      </c>
    </row>
    <row r="317" spans="1:19" x14ac:dyDescent="0.3">
      <c r="A317" s="44" t="s">
        <v>740</v>
      </c>
      <c r="B317" s="45">
        <v>45325</v>
      </c>
      <c r="C317" s="38" t="s">
        <v>741</v>
      </c>
      <c r="D317" s="38" t="s">
        <v>109</v>
      </c>
      <c r="E317" s="38" t="s">
        <v>70</v>
      </c>
      <c r="F317" s="38" t="s">
        <v>82</v>
      </c>
      <c r="G317" s="38" t="s">
        <v>77</v>
      </c>
      <c r="H317" s="38" t="s">
        <v>66</v>
      </c>
      <c r="I317" s="46">
        <v>11</v>
      </c>
      <c r="J317" s="47">
        <v>220000</v>
      </c>
      <c r="K317" s="47">
        <f t="shared" si="27"/>
        <v>220000</v>
      </c>
      <c r="L317" s="47">
        <f t="shared" si="23"/>
        <v>2420000</v>
      </c>
      <c r="M317" s="38">
        <v>15</v>
      </c>
      <c r="N317" s="47">
        <f t="shared" si="24"/>
        <v>363000</v>
      </c>
      <c r="O317" s="47">
        <f t="shared" si="25"/>
        <v>2057000</v>
      </c>
      <c r="P317" s="38" t="s">
        <v>131</v>
      </c>
      <c r="Q317" s="43" t="s">
        <v>82</v>
      </c>
      <c r="R317" s="27" t="s">
        <v>77</v>
      </c>
      <c r="S317" s="27" t="s">
        <v>66</v>
      </c>
    </row>
    <row r="318" spans="1:19" x14ac:dyDescent="0.3">
      <c r="A318" s="48" t="s">
        <v>742</v>
      </c>
      <c r="B318" s="49">
        <v>45476</v>
      </c>
      <c r="C318" s="39" t="s">
        <v>743</v>
      </c>
      <c r="D318" s="39" t="s">
        <v>109</v>
      </c>
      <c r="E318" s="39" t="s">
        <v>70</v>
      </c>
      <c r="F318" s="39" t="s">
        <v>82</v>
      </c>
      <c r="G318" s="39" t="s">
        <v>77</v>
      </c>
      <c r="H318" s="39" t="s">
        <v>66</v>
      </c>
      <c r="I318" s="50">
        <v>3</v>
      </c>
      <c r="J318" s="51">
        <v>220000</v>
      </c>
      <c r="K318" s="51">
        <f t="shared" si="27"/>
        <v>220000</v>
      </c>
      <c r="L318" s="51">
        <f t="shared" si="23"/>
        <v>660000</v>
      </c>
      <c r="M318" s="39">
        <v>0</v>
      </c>
      <c r="N318" s="51">
        <f t="shared" si="24"/>
        <v>0</v>
      </c>
      <c r="O318" s="51">
        <f t="shared" si="25"/>
        <v>660000</v>
      </c>
      <c r="P318" s="39" t="s">
        <v>51</v>
      </c>
      <c r="Q318" s="52" t="s">
        <v>82</v>
      </c>
      <c r="R318" s="27" t="s">
        <v>77</v>
      </c>
      <c r="S318" s="27" t="s">
        <v>66</v>
      </c>
    </row>
    <row r="319" spans="1:19" x14ac:dyDescent="0.3">
      <c r="A319" s="44" t="s">
        <v>744</v>
      </c>
      <c r="B319" s="45">
        <v>45388</v>
      </c>
      <c r="C319" s="38" t="s">
        <v>479</v>
      </c>
      <c r="D319" s="38" t="s">
        <v>65</v>
      </c>
      <c r="E319" s="38" t="s">
        <v>49</v>
      </c>
      <c r="F319" s="38" t="s">
        <v>92</v>
      </c>
      <c r="G319" s="38" t="s">
        <v>77</v>
      </c>
      <c r="H319" s="38" t="s">
        <v>43</v>
      </c>
      <c r="I319" s="46">
        <v>19</v>
      </c>
      <c r="J319" s="47">
        <v>450000</v>
      </c>
      <c r="K319" s="47">
        <f t="shared" si="27"/>
        <v>450000</v>
      </c>
      <c r="L319" s="47">
        <f t="shared" si="23"/>
        <v>8550000</v>
      </c>
      <c r="M319" s="38">
        <v>15</v>
      </c>
      <c r="N319" s="47">
        <f t="shared" si="24"/>
        <v>1282500</v>
      </c>
      <c r="O319" s="47">
        <f t="shared" si="25"/>
        <v>7267500</v>
      </c>
      <c r="P319" s="38" t="s">
        <v>131</v>
      </c>
      <c r="Q319" s="43" t="s">
        <v>92</v>
      </c>
      <c r="R319" s="27" t="s">
        <v>77</v>
      </c>
      <c r="S319" s="27" t="s">
        <v>43</v>
      </c>
    </row>
    <row r="320" spans="1:19" x14ac:dyDescent="0.3">
      <c r="A320" s="48" t="s">
        <v>745</v>
      </c>
      <c r="B320" s="49">
        <v>45364</v>
      </c>
      <c r="C320" s="39" t="s">
        <v>746</v>
      </c>
      <c r="D320" s="39" t="s">
        <v>39</v>
      </c>
      <c r="E320" s="39" t="s">
        <v>40</v>
      </c>
      <c r="F320" s="39" t="s">
        <v>82</v>
      </c>
      <c r="G320" s="39" t="s">
        <v>77</v>
      </c>
      <c r="H320" s="39" t="s">
        <v>66</v>
      </c>
      <c r="I320" s="50">
        <v>3</v>
      </c>
      <c r="J320" s="51">
        <v>220000</v>
      </c>
      <c r="K320" s="51">
        <f t="shared" si="27"/>
        <v>220000</v>
      </c>
      <c r="L320" s="51">
        <f t="shared" si="23"/>
        <v>660000</v>
      </c>
      <c r="M320" s="39">
        <v>0</v>
      </c>
      <c r="N320" s="51">
        <f t="shared" si="24"/>
        <v>0</v>
      </c>
      <c r="O320" s="51">
        <f t="shared" si="25"/>
        <v>660000</v>
      </c>
      <c r="P320" s="39" t="s">
        <v>164</v>
      </c>
      <c r="Q320" s="52" t="s">
        <v>82</v>
      </c>
      <c r="R320" s="27" t="s">
        <v>77</v>
      </c>
      <c r="S320" s="27" t="s">
        <v>66</v>
      </c>
    </row>
    <row r="321" spans="1:19" x14ac:dyDescent="0.3">
      <c r="A321" s="44" t="s">
        <v>748</v>
      </c>
      <c r="B321" s="45">
        <v>45551</v>
      </c>
      <c r="C321" s="38" t="s">
        <v>749</v>
      </c>
      <c r="D321" s="38" t="s">
        <v>75</v>
      </c>
      <c r="E321" s="38" t="s">
        <v>40</v>
      </c>
      <c r="F321" s="38" t="s">
        <v>61</v>
      </c>
      <c r="G321" s="38" t="s">
        <v>42</v>
      </c>
      <c r="H321" s="38" t="s">
        <v>71</v>
      </c>
      <c r="I321" s="46">
        <v>6</v>
      </c>
      <c r="J321" s="47">
        <v>22000</v>
      </c>
      <c r="K321" s="47">
        <f t="shared" si="27"/>
        <v>22000</v>
      </c>
      <c r="L321" s="47">
        <f t="shared" si="23"/>
        <v>132000</v>
      </c>
      <c r="M321" s="38">
        <v>0</v>
      </c>
      <c r="N321" s="47">
        <f t="shared" si="24"/>
        <v>0</v>
      </c>
      <c r="O321" s="47">
        <f t="shared" si="25"/>
        <v>132000</v>
      </c>
      <c r="P321" s="38" t="s">
        <v>131</v>
      </c>
      <c r="Q321" s="43" t="s">
        <v>61</v>
      </c>
      <c r="R321" s="27" t="s">
        <v>42</v>
      </c>
      <c r="S321" s="27" t="s">
        <v>71</v>
      </c>
    </row>
    <row r="322" spans="1:19" x14ac:dyDescent="0.3">
      <c r="A322" s="48" t="s">
        <v>750</v>
      </c>
      <c r="B322" s="49">
        <v>45393</v>
      </c>
      <c r="C322" s="39" t="s">
        <v>751</v>
      </c>
      <c r="D322" s="39" t="s">
        <v>65</v>
      </c>
      <c r="E322" s="39" t="s">
        <v>56</v>
      </c>
      <c r="F322" s="39" t="s">
        <v>99</v>
      </c>
      <c r="G322" s="39" t="s">
        <v>77</v>
      </c>
      <c r="H322" s="39" t="s">
        <v>43</v>
      </c>
      <c r="I322" s="50">
        <v>16</v>
      </c>
      <c r="J322" s="51">
        <v>95000</v>
      </c>
      <c r="K322" s="51">
        <f t="shared" si="27"/>
        <v>95000</v>
      </c>
      <c r="L322" s="51">
        <f t="shared" ref="L322:L385" si="28">I322*K322</f>
        <v>1520000</v>
      </c>
      <c r="M322" s="39">
        <v>10</v>
      </c>
      <c r="N322" s="51">
        <f t="shared" ref="N322:N385" si="29">M322/100 * L322</f>
        <v>152000</v>
      </c>
      <c r="O322" s="51">
        <f t="shared" ref="O322:O385" si="30">L322-N322</f>
        <v>1368000</v>
      </c>
      <c r="P322" s="39" t="s">
        <v>131</v>
      </c>
      <c r="Q322" s="52" t="s">
        <v>99</v>
      </c>
      <c r="R322" s="27" t="s">
        <v>77</v>
      </c>
      <c r="S322" s="27" t="s">
        <v>43</v>
      </c>
    </row>
    <row r="323" spans="1:19" x14ac:dyDescent="0.3">
      <c r="A323" s="44" t="s">
        <v>752</v>
      </c>
      <c r="B323" s="45">
        <v>45305</v>
      </c>
      <c r="C323" s="38" t="s">
        <v>753</v>
      </c>
      <c r="D323" s="38" t="s">
        <v>118</v>
      </c>
      <c r="E323" s="38" t="s">
        <v>49</v>
      </c>
      <c r="F323" s="38" t="s">
        <v>92</v>
      </c>
      <c r="G323" s="38" t="s">
        <v>77</v>
      </c>
      <c r="H323" s="38" t="s">
        <v>71</v>
      </c>
      <c r="I323" s="46">
        <v>3</v>
      </c>
      <c r="J323" s="47">
        <v>450000</v>
      </c>
      <c r="K323" s="47">
        <f t="shared" si="27"/>
        <v>450000</v>
      </c>
      <c r="L323" s="47">
        <f t="shared" si="28"/>
        <v>1350000</v>
      </c>
      <c r="M323" s="38">
        <v>10</v>
      </c>
      <c r="N323" s="47">
        <f t="shared" si="29"/>
        <v>135000</v>
      </c>
      <c r="O323" s="47">
        <f t="shared" si="30"/>
        <v>1215000</v>
      </c>
      <c r="P323" s="38" t="s">
        <v>51</v>
      </c>
      <c r="Q323" s="43" t="s">
        <v>92</v>
      </c>
      <c r="R323" s="27" t="s">
        <v>77</v>
      </c>
      <c r="S323" s="27" t="s">
        <v>71</v>
      </c>
    </row>
    <row r="324" spans="1:19" x14ac:dyDescent="0.3">
      <c r="A324" s="48" t="s">
        <v>754</v>
      </c>
      <c r="B324" s="49">
        <v>45455</v>
      </c>
      <c r="C324" s="39" t="s">
        <v>755</v>
      </c>
      <c r="D324" s="39" t="s">
        <v>81</v>
      </c>
      <c r="E324" s="39" t="s">
        <v>70</v>
      </c>
      <c r="F324" s="39" t="s">
        <v>82</v>
      </c>
      <c r="G324" s="39" t="s">
        <v>77</v>
      </c>
      <c r="H324" s="39" t="s">
        <v>43</v>
      </c>
      <c r="I324" s="50">
        <v>11</v>
      </c>
      <c r="J324" s="51">
        <v>220000</v>
      </c>
      <c r="K324" s="51">
        <f t="shared" si="27"/>
        <v>220000</v>
      </c>
      <c r="L324" s="51">
        <f t="shared" si="28"/>
        <v>2420000</v>
      </c>
      <c r="M324" s="39">
        <v>10</v>
      </c>
      <c r="N324" s="51">
        <f t="shared" si="29"/>
        <v>242000</v>
      </c>
      <c r="O324" s="51">
        <f t="shared" si="30"/>
        <v>2178000</v>
      </c>
      <c r="P324" s="39" t="s">
        <v>86</v>
      </c>
      <c r="Q324" s="52" t="s">
        <v>82</v>
      </c>
      <c r="R324" s="27" t="s">
        <v>77</v>
      </c>
      <c r="S324" s="27" t="s">
        <v>43</v>
      </c>
    </row>
    <row r="325" spans="1:19" x14ac:dyDescent="0.3">
      <c r="A325" s="44" t="s">
        <v>756</v>
      </c>
      <c r="B325" s="45">
        <v>45536</v>
      </c>
      <c r="C325" s="38" t="s">
        <v>757</v>
      </c>
      <c r="D325" s="38" t="s">
        <v>55</v>
      </c>
      <c r="E325" s="38" t="s">
        <v>70</v>
      </c>
      <c r="F325" s="38" t="s">
        <v>82</v>
      </c>
      <c r="G325" s="38" t="s">
        <v>77</v>
      </c>
      <c r="H325" s="38" t="s">
        <v>66</v>
      </c>
      <c r="I325" s="46">
        <v>6</v>
      </c>
      <c r="J325" s="47">
        <v>220000</v>
      </c>
      <c r="K325" s="47">
        <f t="shared" si="27"/>
        <v>220000</v>
      </c>
      <c r="L325" s="47">
        <f t="shared" si="28"/>
        <v>1320000</v>
      </c>
      <c r="M325" s="38">
        <v>0</v>
      </c>
      <c r="N325" s="47">
        <f t="shared" si="29"/>
        <v>0</v>
      </c>
      <c r="O325" s="47">
        <f t="shared" si="30"/>
        <v>1320000</v>
      </c>
      <c r="P325" s="38" t="s">
        <v>44</v>
      </c>
      <c r="Q325" s="43" t="s">
        <v>82</v>
      </c>
      <c r="R325" s="27" t="s">
        <v>77</v>
      </c>
      <c r="S325" s="27" t="s">
        <v>66</v>
      </c>
    </row>
    <row r="326" spans="1:19" x14ac:dyDescent="0.3">
      <c r="A326" s="48" t="s">
        <v>758</v>
      </c>
      <c r="B326" s="49">
        <v>45393</v>
      </c>
      <c r="C326" s="39" t="s">
        <v>759</v>
      </c>
      <c r="D326" s="39" t="s">
        <v>141</v>
      </c>
      <c r="E326" s="39" t="s">
        <v>40</v>
      </c>
      <c r="F326" s="39" t="s">
        <v>41</v>
      </c>
      <c r="G326" s="39" t="s">
        <v>42</v>
      </c>
      <c r="H326" s="39" t="s">
        <v>66</v>
      </c>
      <c r="I326" s="50">
        <v>19</v>
      </c>
      <c r="J326" s="51">
        <v>35000</v>
      </c>
      <c r="K326" s="51">
        <f t="shared" si="27"/>
        <v>35000</v>
      </c>
      <c r="L326" s="51">
        <f t="shared" si="28"/>
        <v>665000</v>
      </c>
      <c r="M326" s="39">
        <v>0</v>
      </c>
      <c r="N326" s="51">
        <f t="shared" si="29"/>
        <v>0</v>
      </c>
      <c r="O326" s="51">
        <f t="shared" si="30"/>
        <v>665000</v>
      </c>
      <c r="P326" s="39" t="s">
        <v>44</v>
      </c>
      <c r="Q326" s="52" t="s">
        <v>41</v>
      </c>
      <c r="R326" s="27" t="s">
        <v>42</v>
      </c>
      <c r="S326" s="27" t="s">
        <v>66</v>
      </c>
    </row>
    <row r="327" spans="1:19" x14ac:dyDescent="0.3">
      <c r="A327" s="44" t="s">
        <v>760</v>
      </c>
      <c r="B327" s="45">
        <v>45377</v>
      </c>
      <c r="C327" s="38" t="s">
        <v>761</v>
      </c>
      <c r="D327" s="38" t="s">
        <v>39</v>
      </c>
      <c r="E327" s="38" t="s">
        <v>70</v>
      </c>
      <c r="F327" s="38" t="s">
        <v>41</v>
      </c>
      <c r="G327" s="38" t="s">
        <v>42</v>
      </c>
      <c r="H327" s="38" t="s">
        <v>43</v>
      </c>
      <c r="I327" s="46">
        <v>6</v>
      </c>
      <c r="J327" s="47">
        <v>35000</v>
      </c>
      <c r="K327" s="47">
        <f t="shared" si="27"/>
        <v>35000</v>
      </c>
      <c r="L327" s="47">
        <f t="shared" si="28"/>
        <v>210000</v>
      </c>
      <c r="M327" s="38">
        <v>10</v>
      </c>
      <c r="N327" s="47">
        <f t="shared" si="29"/>
        <v>21000</v>
      </c>
      <c r="O327" s="47">
        <f t="shared" si="30"/>
        <v>189000</v>
      </c>
      <c r="P327" s="38" t="s">
        <v>51</v>
      </c>
      <c r="Q327" s="43" t="s">
        <v>41</v>
      </c>
      <c r="R327" s="27" t="s">
        <v>42</v>
      </c>
      <c r="S327" s="27" t="s">
        <v>43</v>
      </c>
    </row>
    <row r="328" spans="1:19" x14ac:dyDescent="0.3">
      <c r="A328" s="48" t="s">
        <v>762</v>
      </c>
      <c r="B328" s="49">
        <v>45541</v>
      </c>
      <c r="C328" s="39" t="s">
        <v>763</v>
      </c>
      <c r="D328" s="39" t="s">
        <v>81</v>
      </c>
      <c r="E328" s="39" t="s">
        <v>70</v>
      </c>
      <c r="F328" s="39" t="s">
        <v>50</v>
      </c>
      <c r="G328" s="39" t="s">
        <v>42</v>
      </c>
      <c r="H328" s="39" t="s">
        <v>71</v>
      </c>
      <c r="I328" s="50">
        <v>10</v>
      </c>
      <c r="J328" s="51">
        <v>999999999</v>
      </c>
      <c r="K328" s="51">
        <v>18000</v>
      </c>
      <c r="L328" s="51">
        <f t="shared" si="28"/>
        <v>180000</v>
      </c>
      <c r="M328" s="39">
        <v>15</v>
      </c>
      <c r="N328" s="51">
        <f t="shared" si="29"/>
        <v>27000</v>
      </c>
      <c r="O328" s="51">
        <f t="shared" si="30"/>
        <v>153000</v>
      </c>
      <c r="P328" s="39" t="s">
        <v>51</v>
      </c>
      <c r="Q328" s="52" t="s">
        <v>50</v>
      </c>
      <c r="R328" s="27" t="s">
        <v>42</v>
      </c>
      <c r="S328" s="27" t="s">
        <v>71</v>
      </c>
    </row>
    <row r="329" spans="1:19" x14ac:dyDescent="0.3">
      <c r="A329" s="44" t="s">
        <v>764</v>
      </c>
      <c r="B329" s="45">
        <v>45494</v>
      </c>
      <c r="C329" s="38" t="s">
        <v>765</v>
      </c>
      <c r="D329" s="38" t="s">
        <v>118</v>
      </c>
      <c r="E329" s="38" t="s">
        <v>70</v>
      </c>
      <c r="F329" s="38" t="s">
        <v>50</v>
      </c>
      <c r="G329" s="38" t="s">
        <v>42</v>
      </c>
      <c r="H329" s="38" t="s">
        <v>71</v>
      </c>
      <c r="I329" s="46">
        <v>6</v>
      </c>
      <c r="J329" s="47">
        <v>18000</v>
      </c>
      <c r="K329" s="47">
        <f t="shared" ref="K329:K360" si="31">J329</f>
        <v>18000</v>
      </c>
      <c r="L329" s="47">
        <f t="shared" si="28"/>
        <v>108000</v>
      </c>
      <c r="M329" s="38">
        <v>10</v>
      </c>
      <c r="N329" s="47">
        <f t="shared" si="29"/>
        <v>10800</v>
      </c>
      <c r="O329" s="47">
        <f t="shared" si="30"/>
        <v>97200</v>
      </c>
      <c r="P329" s="38" t="s">
        <v>131</v>
      </c>
      <c r="Q329" s="43" t="s">
        <v>50</v>
      </c>
      <c r="R329" s="27" t="s">
        <v>42</v>
      </c>
      <c r="S329" s="27" t="s">
        <v>71</v>
      </c>
    </row>
    <row r="330" spans="1:19" x14ac:dyDescent="0.3">
      <c r="A330" s="48" t="s">
        <v>766</v>
      </c>
      <c r="B330" s="49">
        <v>45631</v>
      </c>
      <c r="C330" s="39" t="s">
        <v>767</v>
      </c>
      <c r="D330" s="39" t="s">
        <v>65</v>
      </c>
      <c r="E330" s="39" t="s">
        <v>40</v>
      </c>
      <c r="F330" s="39" t="s">
        <v>61</v>
      </c>
      <c r="G330" s="39" t="s">
        <v>42</v>
      </c>
      <c r="H330" s="39" t="s">
        <v>71</v>
      </c>
      <c r="I330" s="50">
        <v>18</v>
      </c>
      <c r="J330" s="51">
        <v>22000</v>
      </c>
      <c r="K330" s="51">
        <f t="shared" si="31"/>
        <v>22000</v>
      </c>
      <c r="L330" s="51">
        <f t="shared" si="28"/>
        <v>396000</v>
      </c>
      <c r="M330" s="39">
        <v>0</v>
      </c>
      <c r="N330" s="51">
        <f t="shared" si="29"/>
        <v>0</v>
      </c>
      <c r="O330" s="51">
        <f t="shared" si="30"/>
        <v>396000</v>
      </c>
      <c r="P330" s="39" t="s">
        <v>51</v>
      </c>
      <c r="Q330" s="52" t="s">
        <v>61</v>
      </c>
      <c r="R330" s="27" t="s">
        <v>42</v>
      </c>
      <c r="S330" s="27" t="s">
        <v>71</v>
      </c>
    </row>
    <row r="331" spans="1:19" x14ac:dyDescent="0.3">
      <c r="A331" s="44" t="s">
        <v>768</v>
      </c>
      <c r="B331" s="45">
        <v>45427</v>
      </c>
      <c r="C331" s="38" t="s">
        <v>769</v>
      </c>
      <c r="D331" s="38" t="s">
        <v>48</v>
      </c>
      <c r="E331" s="38" t="s">
        <v>56</v>
      </c>
      <c r="F331" s="38" t="s">
        <v>50</v>
      </c>
      <c r="G331" s="38" t="s">
        <v>42</v>
      </c>
      <c r="H331" s="38" t="s">
        <v>71</v>
      </c>
      <c r="I331" s="46">
        <v>7</v>
      </c>
      <c r="J331" s="47">
        <v>18000</v>
      </c>
      <c r="K331" s="47">
        <f t="shared" si="31"/>
        <v>18000</v>
      </c>
      <c r="L331" s="47">
        <f t="shared" si="28"/>
        <v>126000</v>
      </c>
      <c r="M331" s="38">
        <v>5</v>
      </c>
      <c r="N331" s="47">
        <f t="shared" si="29"/>
        <v>6300</v>
      </c>
      <c r="O331" s="47">
        <f t="shared" si="30"/>
        <v>119700</v>
      </c>
      <c r="P331" s="38" t="s">
        <v>86</v>
      </c>
      <c r="Q331" s="43" t="s">
        <v>50</v>
      </c>
      <c r="R331" s="27" t="s">
        <v>42</v>
      </c>
      <c r="S331" s="27" t="s">
        <v>71</v>
      </c>
    </row>
    <row r="332" spans="1:19" x14ac:dyDescent="0.3">
      <c r="A332" s="48" t="s">
        <v>770</v>
      </c>
      <c r="B332" s="49">
        <v>45608</v>
      </c>
      <c r="C332" s="39" t="s">
        <v>129</v>
      </c>
      <c r="D332" s="39" t="s">
        <v>118</v>
      </c>
      <c r="E332" s="39" t="s">
        <v>40</v>
      </c>
      <c r="F332" s="39" t="s">
        <v>41</v>
      </c>
      <c r="G332" s="39" t="s">
        <v>42</v>
      </c>
      <c r="H332" s="39" t="s">
        <v>43</v>
      </c>
      <c r="I332" s="50">
        <v>15</v>
      </c>
      <c r="J332" s="51">
        <v>35000</v>
      </c>
      <c r="K332" s="51">
        <f t="shared" si="31"/>
        <v>35000</v>
      </c>
      <c r="L332" s="51">
        <f t="shared" si="28"/>
        <v>525000</v>
      </c>
      <c r="M332" s="39">
        <v>10</v>
      </c>
      <c r="N332" s="51">
        <f t="shared" si="29"/>
        <v>52500</v>
      </c>
      <c r="O332" s="51">
        <f t="shared" si="30"/>
        <v>472500</v>
      </c>
      <c r="P332" s="39" t="s">
        <v>51</v>
      </c>
      <c r="Q332" s="52" t="s">
        <v>41</v>
      </c>
      <c r="R332" s="27" t="s">
        <v>42</v>
      </c>
      <c r="S332" s="27" t="s">
        <v>43</v>
      </c>
    </row>
    <row r="333" spans="1:19" x14ac:dyDescent="0.3">
      <c r="A333" s="44" t="s">
        <v>771</v>
      </c>
      <c r="B333" s="45">
        <v>45376</v>
      </c>
      <c r="C333" s="38" t="s">
        <v>772</v>
      </c>
      <c r="D333" s="38" t="s">
        <v>39</v>
      </c>
      <c r="E333" s="38" t="s">
        <v>70</v>
      </c>
      <c r="F333" s="38" t="s">
        <v>57</v>
      </c>
      <c r="G333" s="38" t="s">
        <v>42</v>
      </c>
      <c r="H333" s="38" t="s">
        <v>71</v>
      </c>
      <c r="I333" s="46">
        <v>3</v>
      </c>
      <c r="J333" s="47">
        <v>28000</v>
      </c>
      <c r="K333" s="47">
        <f t="shared" si="31"/>
        <v>28000</v>
      </c>
      <c r="L333" s="47">
        <f t="shared" si="28"/>
        <v>84000</v>
      </c>
      <c r="M333" s="38">
        <v>0</v>
      </c>
      <c r="N333" s="47">
        <f t="shared" si="29"/>
        <v>0</v>
      </c>
      <c r="O333" s="47">
        <f t="shared" si="30"/>
        <v>84000</v>
      </c>
      <c r="P333" s="38" t="s">
        <v>44</v>
      </c>
      <c r="Q333" s="43" t="s">
        <v>57</v>
      </c>
      <c r="R333" s="27" t="s">
        <v>42</v>
      </c>
      <c r="S333" s="27" t="s">
        <v>71</v>
      </c>
    </row>
    <row r="334" spans="1:19" x14ac:dyDescent="0.3">
      <c r="A334" s="48" t="s">
        <v>773</v>
      </c>
      <c r="B334" s="49">
        <v>45514</v>
      </c>
      <c r="C334" s="39" t="s">
        <v>774</v>
      </c>
      <c r="D334" s="39" t="s">
        <v>75</v>
      </c>
      <c r="E334" s="39" t="s">
        <v>40</v>
      </c>
      <c r="F334" s="39" t="s">
        <v>99</v>
      </c>
      <c r="G334" s="39" t="s">
        <v>77</v>
      </c>
      <c r="H334" s="39" t="s">
        <v>66</v>
      </c>
      <c r="I334" s="50">
        <v>17</v>
      </c>
      <c r="J334" s="51">
        <v>95000</v>
      </c>
      <c r="K334" s="51">
        <f t="shared" si="31"/>
        <v>95000</v>
      </c>
      <c r="L334" s="51">
        <f t="shared" si="28"/>
        <v>1615000</v>
      </c>
      <c r="M334" s="39">
        <v>5</v>
      </c>
      <c r="N334" s="51">
        <f t="shared" si="29"/>
        <v>80750</v>
      </c>
      <c r="O334" s="51">
        <f t="shared" si="30"/>
        <v>1534250</v>
      </c>
      <c r="P334" s="39" t="s">
        <v>51</v>
      </c>
      <c r="Q334" s="52" t="s">
        <v>99</v>
      </c>
      <c r="R334" s="27" t="s">
        <v>77</v>
      </c>
      <c r="S334" s="27" t="s">
        <v>66</v>
      </c>
    </row>
    <row r="335" spans="1:19" x14ac:dyDescent="0.3">
      <c r="A335" s="44" t="s">
        <v>775</v>
      </c>
      <c r="B335" s="45">
        <v>45568</v>
      </c>
      <c r="C335" s="38" t="s">
        <v>776</v>
      </c>
      <c r="D335" s="38" t="s">
        <v>118</v>
      </c>
      <c r="E335" s="38" t="s">
        <v>56</v>
      </c>
      <c r="F335" s="38" t="s">
        <v>99</v>
      </c>
      <c r="G335" s="38" t="s">
        <v>77</v>
      </c>
      <c r="H335" s="38" t="s">
        <v>43</v>
      </c>
      <c r="I335" s="46">
        <v>18</v>
      </c>
      <c r="J335" s="47">
        <v>95000</v>
      </c>
      <c r="K335" s="47">
        <f t="shared" si="31"/>
        <v>95000</v>
      </c>
      <c r="L335" s="47">
        <f t="shared" si="28"/>
        <v>1710000</v>
      </c>
      <c r="M335" s="38">
        <v>0</v>
      </c>
      <c r="N335" s="47">
        <f t="shared" si="29"/>
        <v>0</v>
      </c>
      <c r="O335" s="47">
        <f t="shared" si="30"/>
        <v>1710000</v>
      </c>
      <c r="P335" s="38" t="s">
        <v>51</v>
      </c>
      <c r="Q335" s="43" t="s">
        <v>99</v>
      </c>
      <c r="R335" s="27" t="s">
        <v>77</v>
      </c>
      <c r="S335" s="27" t="s">
        <v>43</v>
      </c>
    </row>
    <row r="336" spans="1:19" x14ac:dyDescent="0.3">
      <c r="A336" s="48" t="s">
        <v>777</v>
      </c>
      <c r="B336" s="49">
        <v>45376</v>
      </c>
      <c r="C336" s="39" t="s">
        <v>778</v>
      </c>
      <c r="D336" s="39" t="s">
        <v>65</v>
      </c>
      <c r="E336" s="39" t="s">
        <v>70</v>
      </c>
      <c r="F336" s="39" t="s">
        <v>99</v>
      </c>
      <c r="G336" s="39" t="s">
        <v>77</v>
      </c>
      <c r="H336" s="39" t="s">
        <v>71</v>
      </c>
      <c r="I336" s="50">
        <v>16</v>
      </c>
      <c r="J336" s="51">
        <v>95000</v>
      </c>
      <c r="K336" s="51">
        <f t="shared" si="31"/>
        <v>95000</v>
      </c>
      <c r="L336" s="51">
        <f t="shared" si="28"/>
        <v>1520000</v>
      </c>
      <c r="M336" s="39">
        <v>15</v>
      </c>
      <c r="N336" s="51">
        <f t="shared" si="29"/>
        <v>228000</v>
      </c>
      <c r="O336" s="51">
        <f t="shared" si="30"/>
        <v>1292000</v>
      </c>
      <c r="P336" s="39" t="s">
        <v>131</v>
      </c>
      <c r="Q336" s="52" t="s">
        <v>99</v>
      </c>
      <c r="R336" s="27" t="s">
        <v>77</v>
      </c>
      <c r="S336" s="27" t="s">
        <v>71</v>
      </c>
    </row>
    <row r="337" spans="1:19" x14ac:dyDescent="0.3">
      <c r="A337" s="44" t="s">
        <v>779</v>
      </c>
      <c r="B337" s="45">
        <v>45367</v>
      </c>
      <c r="C337" s="38" t="s">
        <v>611</v>
      </c>
      <c r="D337" s="38" t="s">
        <v>81</v>
      </c>
      <c r="E337" s="38" t="s">
        <v>49</v>
      </c>
      <c r="F337" s="38" t="s">
        <v>99</v>
      </c>
      <c r="G337" s="38" t="s">
        <v>77</v>
      </c>
      <c r="H337" s="38" t="s">
        <v>66</v>
      </c>
      <c r="I337" s="46">
        <v>4</v>
      </c>
      <c r="J337" s="47">
        <v>95000</v>
      </c>
      <c r="K337" s="47">
        <f t="shared" si="31"/>
        <v>95000</v>
      </c>
      <c r="L337" s="47">
        <f t="shared" si="28"/>
        <v>380000</v>
      </c>
      <c r="M337" s="38">
        <v>0</v>
      </c>
      <c r="N337" s="47">
        <f t="shared" si="29"/>
        <v>0</v>
      </c>
      <c r="O337" s="47">
        <f t="shared" si="30"/>
        <v>380000</v>
      </c>
      <c r="P337" s="38" t="s">
        <v>86</v>
      </c>
      <c r="Q337" s="43" t="s">
        <v>99</v>
      </c>
      <c r="R337" s="27" t="s">
        <v>77</v>
      </c>
      <c r="S337" s="27" t="s">
        <v>66</v>
      </c>
    </row>
    <row r="338" spans="1:19" x14ac:dyDescent="0.3">
      <c r="A338" s="48" t="s">
        <v>780</v>
      </c>
      <c r="B338" s="49">
        <v>45580</v>
      </c>
      <c r="C338" s="39" t="s">
        <v>781</v>
      </c>
      <c r="D338" s="39" t="s">
        <v>141</v>
      </c>
      <c r="E338" s="39" t="s">
        <v>70</v>
      </c>
      <c r="F338" s="39" t="s">
        <v>76</v>
      </c>
      <c r="G338" s="39" t="s">
        <v>77</v>
      </c>
      <c r="H338" s="39" t="s">
        <v>71</v>
      </c>
      <c r="I338" s="50">
        <v>19</v>
      </c>
      <c r="J338" s="51">
        <v>180000</v>
      </c>
      <c r="K338" s="51">
        <f t="shared" si="31"/>
        <v>180000</v>
      </c>
      <c r="L338" s="51">
        <f t="shared" si="28"/>
        <v>3420000</v>
      </c>
      <c r="M338" s="39">
        <v>20</v>
      </c>
      <c r="N338" s="51">
        <f t="shared" si="29"/>
        <v>684000</v>
      </c>
      <c r="O338" s="51">
        <f t="shared" si="30"/>
        <v>2736000</v>
      </c>
      <c r="P338" s="39" t="s">
        <v>51</v>
      </c>
      <c r="Q338" s="52" t="s">
        <v>76</v>
      </c>
      <c r="R338" s="27" t="s">
        <v>77</v>
      </c>
      <c r="S338" s="27" t="s">
        <v>71</v>
      </c>
    </row>
    <row r="339" spans="1:19" x14ac:dyDescent="0.3">
      <c r="A339" s="44" t="s">
        <v>782</v>
      </c>
      <c r="B339" s="45">
        <v>45395</v>
      </c>
      <c r="C339" s="38" t="s">
        <v>783</v>
      </c>
      <c r="D339" s="38" t="s">
        <v>81</v>
      </c>
      <c r="E339" s="38" t="s">
        <v>40</v>
      </c>
      <c r="F339" s="38" t="s">
        <v>99</v>
      </c>
      <c r="G339" s="38" t="s">
        <v>77</v>
      </c>
      <c r="H339" s="38" t="s">
        <v>66</v>
      </c>
      <c r="I339" s="46">
        <v>1</v>
      </c>
      <c r="J339" s="47">
        <v>95000</v>
      </c>
      <c r="K339" s="47">
        <f t="shared" si="31"/>
        <v>95000</v>
      </c>
      <c r="L339" s="47">
        <f t="shared" si="28"/>
        <v>95000</v>
      </c>
      <c r="M339" s="38">
        <v>15</v>
      </c>
      <c r="N339" s="47">
        <f t="shared" si="29"/>
        <v>14250</v>
      </c>
      <c r="O339" s="47">
        <f t="shared" si="30"/>
        <v>80750</v>
      </c>
      <c r="P339" s="38" t="s">
        <v>44</v>
      </c>
      <c r="Q339" s="43" t="s">
        <v>99</v>
      </c>
      <c r="R339" s="27" t="s">
        <v>77</v>
      </c>
      <c r="S339" s="27" t="s">
        <v>66</v>
      </c>
    </row>
    <row r="340" spans="1:19" x14ac:dyDescent="0.3">
      <c r="A340" s="48" t="s">
        <v>784</v>
      </c>
      <c r="B340" s="49">
        <v>45615</v>
      </c>
      <c r="C340" s="39" t="s">
        <v>785</v>
      </c>
      <c r="D340" s="39" t="s">
        <v>75</v>
      </c>
      <c r="E340" s="39" t="s">
        <v>40</v>
      </c>
      <c r="F340" s="39" t="s">
        <v>50</v>
      </c>
      <c r="G340" s="39" t="s">
        <v>42</v>
      </c>
      <c r="H340" s="39" t="s">
        <v>66</v>
      </c>
      <c r="I340" s="50">
        <v>14</v>
      </c>
      <c r="J340" s="51">
        <v>18000</v>
      </c>
      <c r="K340" s="51">
        <f t="shared" si="31"/>
        <v>18000</v>
      </c>
      <c r="L340" s="51">
        <f t="shared" si="28"/>
        <v>252000</v>
      </c>
      <c r="M340" s="39">
        <v>0</v>
      </c>
      <c r="N340" s="51">
        <f t="shared" si="29"/>
        <v>0</v>
      </c>
      <c r="O340" s="51">
        <f t="shared" si="30"/>
        <v>252000</v>
      </c>
      <c r="P340" s="39" t="s">
        <v>51</v>
      </c>
      <c r="Q340" s="52" t="s">
        <v>50</v>
      </c>
      <c r="R340" s="27" t="s">
        <v>42</v>
      </c>
      <c r="S340" s="27" t="s">
        <v>66</v>
      </c>
    </row>
    <row r="341" spans="1:19" x14ac:dyDescent="0.3">
      <c r="A341" s="44" t="s">
        <v>786</v>
      </c>
      <c r="B341" s="45">
        <v>45623</v>
      </c>
      <c r="C341" s="38" t="s">
        <v>787</v>
      </c>
      <c r="D341" s="38" t="s">
        <v>65</v>
      </c>
      <c r="E341" s="38" t="s">
        <v>49</v>
      </c>
      <c r="F341" s="38" t="s">
        <v>50</v>
      </c>
      <c r="G341" s="38" t="s">
        <v>42</v>
      </c>
      <c r="H341" s="38" t="s">
        <v>71</v>
      </c>
      <c r="I341" s="46">
        <v>20</v>
      </c>
      <c r="J341" s="47">
        <v>18000</v>
      </c>
      <c r="K341" s="47">
        <f t="shared" si="31"/>
        <v>18000</v>
      </c>
      <c r="L341" s="47">
        <f t="shared" si="28"/>
        <v>360000</v>
      </c>
      <c r="M341" s="38">
        <v>0</v>
      </c>
      <c r="N341" s="47">
        <f t="shared" si="29"/>
        <v>0</v>
      </c>
      <c r="O341" s="47">
        <f t="shared" si="30"/>
        <v>360000</v>
      </c>
      <c r="P341" s="38" t="s">
        <v>86</v>
      </c>
      <c r="Q341" s="43" t="s">
        <v>50</v>
      </c>
      <c r="R341" s="27" t="s">
        <v>42</v>
      </c>
      <c r="S341" s="27" t="s">
        <v>71</v>
      </c>
    </row>
    <row r="342" spans="1:19" x14ac:dyDescent="0.3">
      <c r="A342" s="48" t="s">
        <v>788</v>
      </c>
      <c r="B342" s="49">
        <v>45556</v>
      </c>
      <c r="C342" s="39" t="s">
        <v>789</v>
      </c>
      <c r="D342" s="39" t="s">
        <v>154</v>
      </c>
      <c r="E342" s="39" t="s">
        <v>56</v>
      </c>
      <c r="F342" s="39" t="s">
        <v>82</v>
      </c>
      <c r="G342" s="39" t="s">
        <v>77</v>
      </c>
      <c r="H342" s="39" t="s">
        <v>66</v>
      </c>
      <c r="I342" s="50">
        <v>5</v>
      </c>
      <c r="J342" s="51">
        <v>220000</v>
      </c>
      <c r="K342" s="51">
        <f t="shared" si="31"/>
        <v>220000</v>
      </c>
      <c r="L342" s="51">
        <f t="shared" si="28"/>
        <v>1100000</v>
      </c>
      <c r="M342" s="39">
        <v>20</v>
      </c>
      <c r="N342" s="51">
        <f t="shared" si="29"/>
        <v>220000</v>
      </c>
      <c r="O342" s="51">
        <f t="shared" si="30"/>
        <v>880000</v>
      </c>
      <c r="P342" s="39" t="s">
        <v>86</v>
      </c>
      <c r="Q342" s="52" t="s">
        <v>82</v>
      </c>
      <c r="R342" s="27" t="s">
        <v>77</v>
      </c>
      <c r="S342" s="27" t="s">
        <v>66</v>
      </c>
    </row>
    <row r="343" spans="1:19" x14ac:dyDescent="0.3">
      <c r="A343" s="44" t="s">
        <v>790</v>
      </c>
      <c r="B343" s="45">
        <v>45455</v>
      </c>
      <c r="C343" s="38" t="s">
        <v>791</v>
      </c>
      <c r="D343" s="38" t="s">
        <v>48</v>
      </c>
      <c r="E343" s="38" t="s">
        <v>528</v>
      </c>
      <c r="F343" s="38" t="s">
        <v>61</v>
      </c>
      <c r="G343" s="38" t="s">
        <v>42</v>
      </c>
      <c r="H343" s="38" t="s">
        <v>130</v>
      </c>
      <c r="I343" s="46">
        <v>19</v>
      </c>
      <c r="J343" s="47">
        <v>22000</v>
      </c>
      <c r="K343" s="47">
        <f t="shared" si="31"/>
        <v>22000</v>
      </c>
      <c r="L343" s="47">
        <f t="shared" si="28"/>
        <v>418000</v>
      </c>
      <c r="M343" s="38">
        <v>0</v>
      </c>
      <c r="N343" s="47">
        <f t="shared" si="29"/>
        <v>0</v>
      </c>
      <c r="O343" s="47">
        <f t="shared" si="30"/>
        <v>418000</v>
      </c>
      <c r="P343" s="38" t="s">
        <v>51</v>
      </c>
      <c r="Q343" s="43" t="s">
        <v>61</v>
      </c>
      <c r="R343" s="27" t="s">
        <v>42</v>
      </c>
      <c r="S343" s="27" t="s">
        <v>130</v>
      </c>
    </row>
    <row r="344" spans="1:19" x14ac:dyDescent="0.3">
      <c r="A344" s="48" t="s">
        <v>793</v>
      </c>
      <c r="B344" s="49">
        <v>45374</v>
      </c>
      <c r="C344" s="39" t="s">
        <v>794</v>
      </c>
      <c r="D344" s="39" t="s">
        <v>65</v>
      </c>
      <c r="E344" s="39" t="s">
        <v>70</v>
      </c>
      <c r="F344" s="39" t="s">
        <v>50</v>
      </c>
      <c r="G344" s="39" t="s">
        <v>42</v>
      </c>
      <c r="H344" s="39" t="s">
        <v>43</v>
      </c>
      <c r="I344" s="50">
        <v>9</v>
      </c>
      <c r="J344" s="51">
        <v>18000</v>
      </c>
      <c r="K344" s="51">
        <f t="shared" si="31"/>
        <v>18000</v>
      </c>
      <c r="L344" s="51">
        <f t="shared" si="28"/>
        <v>162000</v>
      </c>
      <c r="M344" s="39">
        <v>15</v>
      </c>
      <c r="N344" s="51">
        <f t="shared" si="29"/>
        <v>24300</v>
      </c>
      <c r="O344" s="51">
        <f t="shared" si="30"/>
        <v>137700</v>
      </c>
      <c r="P344" s="39" t="s">
        <v>44</v>
      </c>
      <c r="Q344" s="52" t="s">
        <v>50</v>
      </c>
      <c r="R344" s="27" t="s">
        <v>42</v>
      </c>
      <c r="S344" s="27" t="s">
        <v>43</v>
      </c>
    </row>
    <row r="345" spans="1:19" x14ac:dyDescent="0.3">
      <c r="A345" s="44" t="s">
        <v>119</v>
      </c>
      <c r="B345" s="45">
        <v>45574</v>
      </c>
      <c r="C345" s="38" t="s">
        <v>120</v>
      </c>
      <c r="D345" s="38" t="s">
        <v>75</v>
      </c>
      <c r="E345" s="38" t="s">
        <v>207</v>
      </c>
      <c r="F345" s="38" t="s">
        <v>61</v>
      </c>
      <c r="G345" s="38" t="s">
        <v>42</v>
      </c>
      <c r="H345" s="38" t="s">
        <v>66</v>
      </c>
      <c r="I345" s="46">
        <v>8</v>
      </c>
      <c r="J345" s="47">
        <v>22000</v>
      </c>
      <c r="K345" s="47">
        <f t="shared" si="31"/>
        <v>22000</v>
      </c>
      <c r="L345" s="47">
        <f t="shared" si="28"/>
        <v>176000</v>
      </c>
      <c r="M345" s="38">
        <v>5</v>
      </c>
      <c r="N345" s="47">
        <f t="shared" si="29"/>
        <v>8800</v>
      </c>
      <c r="O345" s="47">
        <f t="shared" si="30"/>
        <v>167200</v>
      </c>
      <c r="P345" s="38" t="s">
        <v>51</v>
      </c>
      <c r="Q345" s="43" t="s">
        <v>61</v>
      </c>
      <c r="R345" s="27" t="s">
        <v>42</v>
      </c>
      <c r="S345" s="27" t="s">
        <v>66</v>
      </c>
    </row>
    <row r="346" spans="1:19" x14ac:dyDescent="0.3">
      <c r="A346" s="48" t="s">
        <v>795</v>
      </c>
      <c r="B346" s="49">
        <v>45511</v>
      </c>
      <c r="C346" s="39" t="s">
        <v>796</v>
      </c>
      <c r="D346" s="39" t="s">
        <v>48</v>
      </c>
      <c r="E346" s="39" t="s">
        <v>49</v>
      </c>
      <c r="F346" s="39" t="s">
        <v>92</v>
      </c>
      <c r="G346" s="39" t="s">
        <v>77</v>
      </c>
      <c r="H346" s="39" t="s">
        <v>66</v>
      </c>
      <c r="I346" s="50">
        <v>9</v>
      </c>
      <c r="J346" s="51">
        <v>450000</v>
      </c>
      <c r="K346" s="51">
        <f t="shared" si="31"/>
        <v>450000</v>
      </c>
      <c r="L346" s="51">
        <f t="shared" si="28"/>
        <v>4050000</v>
      </c>
      <c r="M346" s="39">
        <v>15</v>
      </c>
      <c r="N346" s="51">
        <f t="shared" si="29"/>
        <v>607500</v>
      </c>
      <c r="O346" s="51">
        <f t="shared" si="30"/>
        <v>3442500</v>
      </c>
      <c r="P346" s="39" t="s">
        <v>44</v>
      </c>
      <c r="Q346" s="52" t="s">
        <v>92</v>
      </c>
      <c r="R346" s="27" t="s">
        <v>77</v>
      </c>
      <c r="S346" s="27" t="s">
        <v>66</v>
      </c>
    </row>
    <row r="347" spans="1:19" x14ac:dyDescent="0.3">
      <c r="A347" s="48" t="s">
        <v>797</v>
      </c>
      <c r="B347" s="49">
        <v>45375</v>
      </c>
      <c r="C347" s="39" t="s">
        <v>798</v>
      </c>
      <c r="D347" s="39" t="s">
        <v>141</v>
      </c>
      <c r="E347" s="39" t="s">
        <v>56</v>
      </c>
      <c r="F347" s="39" t="s">
        <v>50</v>
      </c>
      <c r="G347" s="39" t="s">
        <v>42</v>
      </c>
      <c r="H347" s="39" t="s">
        <v>43</v>
      </c>
      <c r="I347" s="50">
        <v>5</v>
      </c>
      <c r="J347" s="51">
        <v>18000</v>
      </c>
      <c r="K347" s="51">
        <f t="shared" si="31"/>
        <v>18000</v>
      </c>
      <c r="L347" s="51">
        <f t="shared" si="28"/>
        <v>90000</v>
      </c>
      <c r="M347" s="39">
        <v>5</v>
      </c>
      <c r="N347" s="51">
        <f t="shared" si="29"/>
        <v>4500</v>
      </c>
      <c r="O347" s="51">
        <f t="shared" si="30"/>
        <v>85500</v>
      </c>
      <c r="P347" s="39" t="s">
        <v>51</v>
      </c>
      <c r="Q347" s="52" t="s">
        <v>50</v>
      </c>
      <c r="R347" s="27" t="s">
        <v>42</v>
      </c>
      <c r="S347" s="27" t="s">
        <v>43</v>
      </c>
    </row>
    <row r="348" spans="1:19" x14ac:dyDescent="0.3">
      <c r="A348" s="44" t="s">
        <v>799</v>
      </c>
      <c r="B348" s="45">
        <v>45471</v>
      </c>
      <c r="C348" s="38" t="s">
        <v>800</v>
      </c>
      <c r="D348" s="38" t="s">
        <v>141</v>
      </c>
      <c r="E348" s="38" t="s">
        <v>40</v>
      </c>
      <c r="F348" s="38" t="s">
        <v>92</v>
      </c>
      <c r="G348" s="38" t="s">
        <v>77</v>
      </c>
      <c r="H348" s="38" t="s">
        <v>66</v>
      </c>
      <c r="I348" s="46">
        <v>20</v>
      </c>
      <c r="J348" s="47">
        <v>450000</v>
      </c>
      <c r="K348" s="47">
        <f t="shared" si="31"/>
        <v>450000</v>
      </c>
      <c r="L348" s="47">
        <f t="shared" si="28"/>
        <v>9000000</v>
      </c>
      <c r="M348" s="38">
        <v>10</v>
      </c>
      <c r="N348" s="47">
        <f t="shared" si="29"/>
        <v>900000</v>
      </c>
      <c r="O348" s="47">
        <f t="shared" si="30"/>
        <v>8100000</v>
      </c>
      <c r="P348" s="38" t="s">
        <v>51</v>
      </c>
      <c r="Q348" s="43" t="s">
        <v>92</v>
      </c>
      <c r="R348" s="27" t="s">
        <v>77</v>
      </c>
      <c r="S348" s="27" t="s">
        <v>66</v>
      </c>
    </row>
    <row r="349" spans="1:19" x14ac:dyDescent="0.3">
      <c r="A349" s="44" t="s">
        <v>801</v>
      </c>
      <c r="B349" s="45">
        <v>45629</v>
      </c>
      <c r="C349" s="38" t="s">
        <v>802</v>
      </c>
      <c r="D349" s="38" t="s">
        <v>118</v>
      </c>
      <c r="E349" s="38" t="s">
        <v>40</v>
      </c>
      <c r="F349" s="38" t="s">
        <v>82</v>
      </c>
      <c r="G349" s="38" t="s">
        <v>77</v>
      </c>
      <c r="H349" s="38" t="s">
        <v>66</v>
      </c>
      <c r="I349" s="46">
        <v>19</v>
      </c>
      <c r="J349" s="47">
        <v>220000</v>
      </c>
      <c r="K349" s="47">
        <f t="shared" si="31"/>
        <v>220000</v>
      </c>
      <c r="L349" s="47">
        <f t="shared" si="28"/>
        <v>4180000</v>
      </c>
      <c r="M349" s="38">
        <v>0</v>
      </c>
      <c r="N349" s="47">
        <f t="shared" si="29"/>
        <v>0</v>
      </c>
      <c r="O349" s="47">
        <f t="shared" si="30"/>
        <v>4180000</v>
      </c>
      <c r="P349" s="38" t="s">
        <v>86</v>
      </c>
      <c r="Q349" s="43" t="s">
        <v>82</v>
      </c>
      <c r="R349" s="27" t="s">
        <v>77</v>
      </c>
      <c r="S349" s="27" t="s">
        <v>66</v>
      </c>
    </row>
    <row r="350" spans="1:19" x14ac:dyDescent="0.3">
      <c r="A350" s="44" t="s">
        <v>803</v>
      </c>
      <c r="B350" s="45">
        <v>45587</v>
      </c>
      <c r="C350" s="38" t="s">
        <v>804</v>
      </c>
      <c r="D350" s="38" t="s">
        <v>48</v>
      </c>
      <c r="E350" s="38" t="s">
        <v>70</v>
      </c>
      <c r="F350" s="38" t="s">
        <v>50</v>
      </c>
      <c r="G350" s="38" t="s">
        <v>42</v>
      </c>
      <c r="H350" s="38" t="s">
        <v>71</v>
      </c>
      <c r="I350" s="46">
        <v>3</v>
      </c>
      <c r="J350" s="47">
        <v>18000</v>
      </c>
      <c r="K350" s="47">
        <f t="shared" si="31"/>
        <v>18000</v>
      </c>
      <c r="L350" s="47">
        <f t="shared" si="28"/>
        <v>54000</v>
      </c>
      <c r="M350" s="38">
        <v>0</v>
      </c>
      <c r="N350" s="47">
        <f t="shared" si="29"/>
        <v>0</v>
      </c>
      <c r="O350" s="47">
        <f t="shared" si="30"/>
        <v>54000</v>
      </c>
      <c r="P350" s="38" t="s">
        <v>239</v>
      </c>
      <c r="Q350" s="43" t="s">
        <v>50</v>
      </c>
      <c r="R350" s="27" t="s">
        <v>42</v>
      </c>
      <c r="S350" s="27" t="s">
        <v>137</v>
      </c>
    </row>
    <row r="351" spans="1:19" x14ac:dyDescent="0.3">
      <c r="A351" s="48" t="s">
        <v>805</v>
      </c>
      <c r="B351" s="49">
        <v>45537</v>
      </c>
      <c r="C351" s="39" t="s">
        <v>806</v>
      </c>
      <c r="D351" s="39" t="s">
        <v>39</v>
      </c>
      <c r="E351" s="39" t="s">
        <v>40</v>
      </c>
      <c r="F351" s="39" t="s">
        <v>82</v>
      </c>
      <c r="G351" s="39" t="s">
        <v>77</v>
      </c>
      <c r="H351" s="39" t="s">
        <v>71</v>
      </c>
      <c r="I351" s="50">
        <v>6</v>
      </c>
      <c r="J351" s="51">
        <v>220000</v>
      </c>
      <c r="K351" s="51">
        <f t="shared" si="31"/>
        <v>220000</v>
      </c>
      <c r="L351" s="51">
        <f t="shared" si="28"/>
        <v>1320000</v>
      </c>
      <c r="M351" s="39">
        <v>0</v>
      </c>
      <c r="N351" s="51">
        <f t="shared" si="29"/>
        <v>0</v>
      </c>
      <c r="O351" s="51">
        <f t="shared" si="30"/>
        <v>1320000</v>
      </c>
      <c r="P351" s="39" t="s">
        <v>51</v>
      </c>
      <c r="Q351" s="52" t="s">
        <v>82</v>
      </c>
      <c r="R351" s="27" t="s">
        <v>77</v>
      </c>
      <c r="S351" s="27" t="s">
        <v>71</v>
      </c>
    </row>
    <row r="352" spans="1:19" x14ac:dyDescent="0.3">
      <c r="A352" s="44" t="s">
        <v>807</v>
      </c>
      <c r="B352" s="45">
        <v>45638</v>
      </c>
      <c r="C352" s="38" t="s">
        <v>570</v>
      </c>
      <c r="D352" s="38" t="s">
        <v>109</v>
      </c>
      <c r="E352" s="38" t="s">
        <v>49</v>
      </c>
      <c r="F352" s="38" t="s">
        <v>82</v>
      </c>
      <c r="G352" s="38" t="s">
        <v>77</v>
      </c>
      <c r="H352" s="38" t="s">
        <v>43</v>
      </c>
      <c r="I352" s="46">
        <v>20</v>
      </c>
      <c r="J352" s="47">
        <v>220000</v>
      </c>
      <c r="K352" s="47">
        <f t="shared" si="31"/>
        <v>220000</v>
      </c>
      <c r="L352" s="47">
        <f t="shared" si="28"/>
        <v>4400000</v>
      </c>
      <c r="M352" s="38">
        <v>5</v>
      </c>
      <c r="N352" s="47">
        <f t="shared" si="29"/>
        <v>220000</v>
      </c>
      <c r="O352" s="47">
        <f t="shared" si="30"/>
        <v>4180000</v>
      </c>
      <c r="P352" s="38" t="s">
        <v>51</v>
      </c>
      <c r="Q352" s="43" t="s">
        <v>82</v>
      </c>
      <c r="R352" s="27" t="s">
        <v>77</v>
      </c>
      <c r="S352" s="27" t="s">
        <v>43</v>
      </c>
    </row>
    <row r="353" spans="1:19" x14ac:dyDescent="0.3">
      <c r="A353" s="48" t="s">
        <v>808</v>
      </c>
      <c r="B353" s="49">
        <v>45645</v>
      </c>
      <c r="C353" s="39" t="s">
        <v>809</v>
      </c>
      <c r="D353" s="39" t="s">
        <v>39</v>
      </c>
      <c r="E353" s="39" t="s">
        <v>40</v>
      </c>
      <c r="F353" s="39" t="s">
        <v>92</v>
      </c>
      <c r="G353" s="39" t="s">
        <v>77</v>
      </c>
      <c r="H353" s="39" t="s">
        <v>66</v>
      </c>
      <c r="I353" s="50">
        <v>15</v>
      </c>
      <c r="J353" s="51">
        <v>450000</v>
      </c>
      <c r="K353" s="51">
        <f t="shared" si="31"/>
        <v>450000</v>
      </c>
      <c r="L353" s="51">
        <f t="shared" si="28"/>
        <v>6750000</v>
      </c>
      <c r="M353" s="39">
        <v>5</v>
      </c>
      <c r="N353" s="51">
        <f t="shared" si="29"/>
        <v>337500</v>
      </c>
      <c r="O353" s="51">
        <f t="shared" si="30"/>
        <v>6412500</v>
      </c>
      <c r="P353" s="39" t="s">
        <v>51</v>
      </c>
      <c r="Q353" s="52" t="s">
        <v>92</v>
      </c>
      <c r="R353" s="27" t="s">
        <v>77</v>
      </c>
      <c r="S353" s="27" t="s">
        <v>66</v>
      </c>
    </row>
    <row r="354" spans="1:19" x14ac:dyDescent="0.3">
      <c r="A354" s="44" t="s">
        <v>810</v>
      </c>
      <c r="B354" s="45">
        <v>45334</v>
      </c>
      <c r="C354" s="38" t="s">
        <v>811</v>
      </c>
      <c r="D354" s="38" t="s">
        <v>65</v>
      </c>
      <c r="E354" s="38" t="s">
        <v>40</v>
      </c>
      <c r="F354" s="38" t="s">
        <v>92</v>
      </c>
      <c r="G354" s="38" t="s">
        <v>77</v>
      </c>
      <c r="H354" s="38" t="s">
        <v>43</v>
      </c>
      <c r="I354" s="46">
        <v>12</v>
      </c>
      <c r="J354" s="47">
        <v>450000</v>
      </c>
      <c r="K354" s="47">
        <f t="shared" si="31"/>
        <v>450000</v>
      </c>
      <c r="L354" s="47">
        <f t="shared" si="28"/>
        <v>5400000</v>
      </c>
      <c r="M354" s="38">
        <v>0</v>
      </c>
      <c r="N354" s="47">
        <f t="shared" si="29"/>
        <v>0</v>
      </c>
      <c r="O354" s="47">
        <f t="shared" si="30"/>
        <v>5400000</v>
      </c>
      <c r="P354" s="38" t="s">
        <v>51</v>
      </c>
      <c r="Q354" s="43" t="s">
        <v>92</v>
      </c>
      <c r="R354" s="27" t="s">
        <v>77</v>
      </c>
      <c r="S354" s="27" t="s">
        <v>43</v>
      </c>
    </row>
    <row r="355" spans="1:19" x14ac:dyDescent="0.3">
      <c r="A355" s="44" t="s">
        <v>812</v>
      </c>
      <c r="B355" s="45">
        <v>45605</v>
      </c>
      <c r="C355" s="38" t="s">
        <v>813</v>
      </c>
      <c r="D355" s="38" t="s">
        <v>141</v>
      </c>
      <c r="E355" s="38" t="s">
        <v>40</v>
      </c>
      <c r="F355" s="38" t="s">
        <v>41</v>
      </c>
      <c r="G355" s="38" t="s">
        <v>42</v>
      </c>
      <c r="H355" s="38" t="s">
        <v>66</v>
      </c>
      <c r="I355" s="46">
        <v>11</v>
      </c>
      <c r="J355" s="47">
        <v>35000</v>
      </c>
      <c r="K355" s="47">
        <f t="shared" si="31"/>
        <v>35000</v>
      </c>
      <c r="L355" s="47">
        <f t="shared" si="28"/>
        <v>385000</v>
      </c>
      <c r="M355" s="38">
        <v>0</v>
      </c>
      <c r="N355" s="47">
        <f t="shared" si="29"/>
        <v>0</v>
      </c>
      <c r="O355" s="47">
        <f t="shared" si="30"/>
        <v>385000</v>
      </c>
      <c r="P355" s="38" t="s">
        <v>51</v>
      </c>
      <c r="Q355" s="43" t="s">
        <v>41</v>
      </c>
      <c r="R355" s="27" t="s">
        <v>42</v>
      </c>
      <c r="S355" s="27" t="s">
        <v>66</v>
      </c>
    </row>
    <row r="356" spans="1:19" x14ac:dyDescent="0.3">
      <c r="A356" s="48" t="s">
        <v>815</v>
      </c>
      <c r="B356" s="49">
        <v>45568</v>
      </c>
      <c r="C356" s="39" t="s">
        <v>816</v>
      </c>
      <c r="D356" s="39" t="s">
        <v>81</v>
      </c>
      <c r="E356" s="39" t="s">
        <v>56</v>
      </c>
      <c r="F356" s="39" t="s">
        <v>82</v>
      </c>
      <c r="G356" s="39" t="s">
        <v>77</v>
      </c>
      <c r="H356" s="39" t="s">
        <v>71</v>
      </c>
      <c r="I356" s="50">
        <v>14</v>
      </c>
      <c r="J356" s="51">
        <v>220000</v>
      </c>
      <c r="K356" s="51">
        <f t="shared" si="31"/>
        <v>220000</v>
      </c>
      <c r="L356" s="51">
        <f t="shared" si="28"/>
        <v>3080000</v>
      </c>
      <c r="M356" s="39">
        <v>20</v>
      </c>
      <c r="N356" s="51">
        <f t="shared" si="29"/>
        <v>616000</v>
      </c>
      <c r="O356" s="51">
        <f t="shared" si="30"/>
        <v>2464000</v>
      </c>
      <c r="P356" s="39" t="s">
        <v>51</v>
      </c>
      <c r="Q356" s="52" t="s">
        <v>82</v>
      </c>
      <c r="R356" s="27" t="s">
        <v>77</v>
      </c>
      <c r="S356" s="27" t="s">
        <v>71</v>
      </c>
    </row>
    <row r="357" spans="1:19" x14ac:dyDescent="0.3">
      <c r="A357" s="44" t="s">
        <v>817</v>
      </c>
      <c r="B357" s="45">
        <v>45609</v>
      </c>
      <c r="C357" s="38" t="s">
        <v>818</v>
      </c>
      <c r="D357" s="38" t="s">
        <v>81</v>
      </c>
      <c r="E357" s="38" t="s">
        <v>49</v>
      </c>
      <c r="F357" s="38" t="s">
        <v>76</v>
      </c>
      <c r="G357" s="38" t="s">
        <v>77</v>
      </c>
      <c r="H357" s="38" t="s">
        <v>66</v>
      </c>
      <c r="I357" s="46">
        <v>10</v>
      </c>
      <c r="J357" s="47">
        <v>180000</v>
      </c>
      <c r="K357" s="47">
        <f t="shared" si="31"/>
        <v>180000</v>
      </c>
      <c r="L357" s="47">
        <f t="shared" si="28"/>
        <v>1800000</v>
      </c>
      <c r="M357" s="38">
        <v>10</v>
      </c>
      <c r="N357" s="47">
        <f t="shared" si="29"/>
        <v>180000</v>
      </c>
      <c r="O357" s="47">
        <f t="shared" si="30"/>
        <v>1620000</v>
      </c>
      <c r="P357" s="38" t="s">
        <v>51</v>
      </c>
      <c r="Q357" s="43" t="s">
        <v>76</v>
      </c>
      <c r="R357" s="27" t="s">
        <v>77</v>
      </c>
      <c r="S357" s="27" t="s">
        <v>66</v>
      </c>
    </row>
    <row r="358" spans="1:19" x14ac:dyDescent="0.3">
      <c r="A358" s="48" t="s">
        <v>819</v>
      </c>
      <c r="B358" s="49">
        <v>45397</v>
      </c>
      <c r="C358" s="39" t="s">
        <v>767</v>
      </c>
      <c r="D358" s="39" t="s">
        <v>39</v>
      </c>
      <c r="E358" s="39" t="s">
        <v>195</v>
      </c>
      <c r="F358" s="39" t="s">
        <v>57</v>
      </c>
      <c r="G358" s="39" t="s">
        <v>42</v>
      </c>
      <c r="H358" s="39" t="s">
        <v>66</v>
      </c>
      <c r="I358" s="50">
        <v>19</v>
      </c>
      <c r="J358" s="51">
        <v>28000</v>
      </c>
      <c r="K358" s="51">
        <f t="shared" si="31"/>
        <v>28000</v>
      </c>
      <c r="L358" s="51">
        <f t="shared" si="28"/>
        <v>532000</v>
      </c>
      <c r="M358" s="39">
        <v>0</v>
      </c>
      <c r="N358" s="51">
        <f t="shared" si="29"/>
        <v>0</v>
      </c>
      <c r="O358" s="51">
        <f t="shared" si="30"/>
        <v>532000</v>
      </c>
      <c r="P358" s="39" t="s">
        <v>164</v>
      </c>
      <c r="Q358" s="52" t="s">
        <v>57</v>
      </c>
      <c r="R358" s="27" t="s">
        <v>42</v>
      </c>
      <c r="S358" s="27" t="s">
        <v>66</v>
      </c>
    </row>
    <row r="359" spans="1:19" x14ac:dyDescent="0.3">
      <c r="A359" s="44" t="s">
        <v>821</v>
      </c>
      <c r="B359" s="45">
        <v>45532</v>
      </c>
      <c r="C359" s="38" t="s">
        <v>822</v>
      </c>
      <c r="D359" s="38" t="s">
        <v>48</v>
      </c>
      <c r="E359" s="38" t="s">
        <v>40</v>
      </c>
      <c r="F359" s="38" t="s">
        <v>92</v>
      </c>
      <c r="G359" s="38" t="s">
        <v>77</v>
      </c>
      <c r="H359" s="38" t="s">
        <v>43</v>
      </c>
      <c r="I359" s="46">
        <v>9</v>
      </c>
      <c r="J359" s="47">
        <v>450000</v>
      </c>
      <c r="K359" s="47">
        <f t="shared" si="31"/>
        <v>450000</v>
      </c>
      <c r="L359" s="47">
        <f t="shared" si="28"/>
        <v>4050000</v>
      </c>
      <c r="M359" s="38">
        <v>20</v>
      </c>
      <c r="N359" s="47">
        <f t="shared" si="29"/>
        <v>810000</v>
      </c>
      <c r="O359" s="47">
        <f t="shared" si="30"/>
        <v>3240000</v>
      </c>
      <c r="P359" s="38" t="s">
        <v>131</v>
      </c>
      <c r="Q359" s="43" t="s">
        <v>92</v>
      </c>
      <c r="R359" s="27" t="s">
        <v>77</v>
      </c>
      <c r="S359" s="27" t="s">
        <v>43</v>
      </c>
    </row>
    <row r="360" spans="1:19" x14ac:dyDescent="0.3">
      <c r="A360" s="48" t="s">
        <v>823</v>
      </c>
      <c r="B360" s="49">
        <v>45642</v>
      </c>
      <c r="C360" s="39" t="s">
        <v>391</v>
      </c>
      <c r="D360" s="39" t="s">
        <v>141</v>
      </c>
      <c r="E360" s="39" t="s">
        <v>70</v>
      </c>
      <c r="F360" s="39" t="s">
        <v>99</v>
      </c>
      <c r="G360" s="39" t="s">
        <v>77</v>
      </c>
      <c r="H360" s="39" t="s">
        <v>66</v>
      </c>
      <c r="I360" s="50">
        <v>7</v>
      </c>
      <c r="J360" s="51">
        <v>95000</v>
      </c>
      <c r="K360" s="51">
        <f t="shared" si="31"/>
        <v>95000</v>
      </c>
      <c r="L360" s="51">
        <f t="shared" si="28"/>
        <v>665000</v>
      </c>
      <c r="M360" s="39">
        <v>0</v>
      </c>
      <c r="N360" s="51">
        <f t="shared" si="29"/>
        <v>0</v>
      </c>
      <c r="O360" s="51">
        <f t="shared" si="30"/>
        <v>665000</v>
      </c>
      <c r="P360" s="39" t="s">
        <v>51</v>
      </c>
      <c r="Q360" s="52" t="s">
        <v>99</v>
      </c>
      <c r="R360" s="27" t="s">
        <v>77</v>
      </c>
      <c r="S360" s="27" t="s">
        <v>66</v>
      </c>
    </row>
    <row r="361" spans="1:19" x14ac:dyDescent="0.3">
      <c r="A361" s="44" t="s">
        <v>824</v>
      </c>
      <c r="B361" s="45">
        <v>45558</v>
      </c>
      <c r="C361" s="38" t="s">
        <v>117</v>
      </c>
      <c r="D361" s="38" t="s">
        <v>75</v>
      </c>
      <c r="E361" s="38" t="s">
        <v>70</v>
      </c>
      <c r="F361" s="38" t="s">
        <v>41</v>
      </c>
      <c r="G361" s="38" t="s">
        <v>42</v>
      </c>
      <c r="H361" s="38" t="s">
        <v>66</v>
      </c>
      <c r="I361" s="46">
        <v>17</v>
      </c>
      <c r="J361" s="47">
        <v>35000</v>
      </c>
      <c r="K361" s="47">
        <f t="shared" ref="K361:K392" si="32">J361</f>
        <v>35000</v>
      </c>
      <c r="L361" s="47">
        <f t="shared" si="28"/>
        <v>595000</v>
      </c>
      <c r="M361" s="38">
        <v>5</v>
      </c>
      <c r="N361" s="47">
        <f t="shared" si="29"/>
        <v>29750</v>
      </c>
      <c r="O361" s="47">
        <f t="shared" si="30"/>
        <v>565250</v>
      </c>
      <c r="P361" s="38" t="s">
        <v>51</v>
      </c>
      <c r="Q361" s="43" t="s">
        <v>41</v>
      </c>
      <c r="R361" s="27" t="s">
        <v>42</v>
      </c>
      <c r="S361" s="27" t="s">
        <v>66</v>
      </c>
    </row>
    <row r="362" spans="1:19" x14ac:dyDescent="0.3">
      <c r="A362" s="48" t="s">
        <v>825</v>
      </c>
      <c r="B362" s="49">
        <v>45369</v>
      </c>
      <c r="C362" s="39" t="s">
        <v>826</v>
      </c>
      <c r="D362" s="39" t="s">
        <v>118</v>
      </c>
      <c r="E362" s="39" t="s">
        <v>49</v>
      </c>
      <c r="F362" s="39" t="s">
        <v>76</v>
      </c>
      <c r="G362" s="39" t="s">
        <v>77</v>
      </c>
      <c r="H362" s="39" t="s">
        <v>43</v>
      </c>
      <c r="I362" s="50">
        <v>5</v>
      </c>
      <c r="J362" s="51">
        <v>180000</v>
      </c>
      <c r="K362" s="51">
        <f t="shared" si="32"/>
        <v>180000</v>
      </c>
      <c r="L362" s="51">
        <f t="shared" si="28"/>
        <v>900000</v>
      </c>
      <c r="M362" s="39">
        <v>0</v>
      </c>
      <c r="N362" s="51">
        <f t="shared" si="29"/>
        <v>0</v>
      </c>
      <c r="O362" s="51">
        <f t="shared" si="30"/>
        <v>900000</v>
      </c>
      <c r="P362" s="39" t="s">
        <v>44</v>
      </c>
      <c r="Q362" s="52" t="s">
        <v>76</v>
      </c>
      <c r="R362" s="27" t="s">
        <v>77</v>
      </c>
      <c r="S362" s="27" t="s">
        <v>43</v>
      </c>
    </row>
    <row r="363" spans="1:19" x14ac:dyDescent="0.3">
      <c r="A363" s="44" t="s">
        <v>827</v>
      </c>
      <c r="B363" s="45">
        <v>45497</v>
      </c>
      <c r="C363" s="38" t="s">
        <v>826</v>
      </c>
      <c r="D363" s="38" t="s">
        <v>48</v>
      </c>
      <c r="E363" s="38" t="s">
        <v>56</v>
      </c>
      <c r="F363" s="38" t="s">
        <v>61</v>
      </c>
      <c r="G363" s="38" t="s">
        <v>42</v>
      </c>
      <c r="H363" s="38" t="s">
        <v>66</v>
      </c>
      <c r="I363" s="46">
        <v>10</v>
      </c>
      <c r="J363" s="47">
        <v>22000</v>
      </c>
      <c r="K363" s="47">
        <f t="shared" si="32"/>
        <v>22000</v>
      </c>
      <c r="L363" s="47">
        <f t="shared" si="28"/>
        <v>220000</v>
      </c>
      <c r="M363" s="38">
        <v>15</v>
      </c>
      <c r="N363" s="47">
        <f t="shared" si="29"/>
        <v>33000</v>
      </c>
      <c r="O363" s="47">
        <f t="shared" si="30"/>
        <v>187000</v>
      </c>
      <c r="P363" s="38" t="s">
        <v>51</v>
      </c>
      <c r="Q363" s="43" t="s">
        <v>61</v>
      </c>
      <c r="R363" s="27" t="s">
        <v>42</v>
      </c>
      <c r="S363" s="27" t="s">
        <v>66</v>
      </c>
    </row>
    <row r="364" spans="1:19" x14ac:dyDescent="0.3">
      <c r="A364" s="48" t="s">
        <v>828</v>
      </c>
      <c r="B364" s="49">
        <v>45418</v>
      </c>
      <c r="C364" s="39" t="s">
        <v>829</v>
      </c>
      <c r="D364" s="39" t="s">
        <v>109</v>
      </c>
      <c r="E364" s="39" t="s">
        <v>49</v>
      </c>
      <c r="F364" s="39" t="s">
        <v>76</v>
      </c>
      <c r="G364" s="39" t="s">
        <v>77</v>
      </c>
      <c r="H364" s="39" t="s">
        <v>71</v>
      </c>
      <c r="I364" s="50">
        <v>17</v>
      </c>
      <c r="J364" s="51">
        <v>180000</v>
      </c>
      <c r="K364" s="51">
        <f t="shared" si="32"/>
        <v>180000</v>
      </c>
      <c r="L364" s="51">
        <f t="shared" si="28"/>
        <v>3060000</v>
      </c>
      <c r="M364" s="39">
        <v>0</v>
      </c>
      <c r="N364" s="51">
        <f t="shared" si="29"/>
        <v>0</v>
      </c>
      <c r="O364" s="51">
        <f t="shared" si="30"/>
        <v>3060000</v>
      </c>
      <c r="P364" s="39" t="s">
        <v>51</v>
      </c>
      <c r="Q364" s="52" t="s">
        <v>76</v>
      </c>
      <c r="R364" s="27" t="s">
        <v>77</v>
      </c>
      <c r="S364" s="27" t="s">
        <v>71</v>
      </c>
    </row>
    <row r="365" spans="1:19" x14ac:dyDescent="0.3">
      <c r="A365" s="44" t="s">
        <v>830</v>
      </c>
      <c r="B365" s="45">
        <v>45304</v>
      </c>
      <c r="C365" s="38" t="s">
        <v>831</v>
      </c>
      <c r="D365" s="38" t="s">
        <v>141</v>
      </c>
      <c r="E365" s="38" t="s">
        <v>49</v>
      </c>
      <c r="F365" s="38" t="s">
        <v>41</v>
      </c>
      <c r="G365" s="38" t="s">
        <v>42</v>
      </c>
      <c r="H365" s="38" t="s">
        <v>66</v>
      </c>
      <c r="I365" s="46">
        <v>17</v>
      </c>
      <c r="J365" s="47">
        <v>35000</v>
      </c>
      <c r="K365" s="47">
        <f t="shared" si="32"/>
        <v>35000</v>
      </c>
      <c r="L365" s="47">
        <f t="shared" si="28"/>
        <v>595000</v>
      </c>
      <c r="M365" s="38">
        <v>5</v>
      </c>
      <c r="N365" s="47">
        <f t="shared" si="29"/>
        <v>29750</v>
      </c>
      <c r="O365" s="47">
        <f t="shared" si="30"/>
        <v>565250</v>
      </c>
      <c r="P365" s="38" t="s">
        <v>51</v>
      </c>
      <c r="Q365" s="43" t="s">
        <v>41</v>
      </c>
      <c r="R365" s="27" t="s">
        <v>42</v>
      </c>
      <c r="S365" s="27" t="s">
        <v>66</v>
      </c>
    </row>
    <row r="366" spans="1:19" x14ac:dyDescent="0.3">
      <c r="A366" s="48" t="s">
        <v>832</v>
      </c>
      <c r="B366" s="49">
        <v>45546</v>
      </c>
      <c r="C366" s="39" t="s">
        <v>833</v>
      </c>
      <c r="D366" s="39" t="s">
        <v>154</v>
      </c>
      <c r="E366" s="39" t="s">
        <v>49</v>
      </c>
      <c r="F366" s="39" t="s">
        <v>99</v>
      </c>
      <c r="G366" s="39" t="s">
        <v>77</v>
      </c>
      <c r="H366" s="39" t="s">
        <v>71</v>
      </c>
      <c r="I366" s="50">
        <v>6</v>
      </c>
      <c r="J366" s="51">
        <v>95000</v>
      </c>
      <c r="K366" s="51">
        <f t="shared" si="32"/>
        <v>95000</v>
      </c>
      <c r="L366" s="51">
        <f t="shared" si="28"/>
        <v>570000</v>
      </c>
      <c r="M366" s="39">
        <v>5</v>
      </c>
      <c r="N366" s="51">
        <f t="shared" si="29"/>
        <v>28500</v>
      </c>
      <c r="O366" s="51">
        <f t="shared" si="30"/>
        <v>541500</v>
      </c>
      <c r="P366" s="39" t="s">
        <v>86</v>
      </c>
      <c r="Q366" s="52" t="s">
        <v>99</v>
      </c>
      <c r="R366" s="27" t="s">
        <v>77</v>
      </c>
      <c r="S366" s="27" t="s">
        <v>71</v>
      </c>
    </row>
    <row r="367" spans="1:19" x14ac:dyDescent="0.3">
      <c r="A367" s="44" t="s">
        <v>834</v>
      </c>
      <c r="B367" s="45">
        <v>45653</v>
      </c>
      <c r="C367" s="38" t="s">
        <v>835</v>
      </c>
      <c r="D367" s="38" t="s">
        <v>118</v>
      </c>
      <c r="E367" s="38" t="s">
        <v>70</v>
      </c>
      <c r="F367" s="38" t="s">
        <v>61</v>
      </c>
      <c r="G367" s="38" t="s">
        <v>42</v>
      </c>
      <c r="H367" s="38" t="s">
        <v>71</v>
      </c>
      <c r="I367" s="46">
        <v>16</v>
      </c>
      <c r="J367" s="47">
        <v>22000</v>
      </c>
      <c r="K367" s="47">
        <f t="shared" si="32"/>
        <v>22000</v>
      </c>
      <c r="L367" s="47">
        <f t="shared" si="28"/>
        <v>352000</v>
      </c>
      <c r="M367" s="38">
        <v>5</v>
      </c>
      <c r="N367" s="47">
        <f t="shared" si="29"/>
        <v>17600</v>
      </c>
      <c r="O367" s="47">
        <f t="shared" si="30"/>
        <v>334400</v>
      </c>
      <c r="P367" s="38" t="s">
        <v>51</v>
      </c>
      <c r="Q367" s="43" t="s">
        <v>61</v>
      </c>
      <c r="R367" s="27" t="s">
        <v>42</v>
      </c>
      <c r="S367" s="27" t="s">
        <v>71</v>
      </c>
    </row>
    <row r="368" spans="1:19" x14ac:dyDescent="0.3">
      <c r="A368" s="48" t="s">
        <v>836</v>
      </c>
      <c r="B368" s="49">
        <v>45339</v>
      </c>
      <c r="C368" s="39" t="s">
        <v>837</v>
      </c>
      <c r="D368" s="39" t="s">
        <v>48</v>
      </c>
      <c r="E368" s="39" t="s">
        <v>40</v>
      </c>
      <c r="F368" s="39" t="s">
        <v>41</v>
      </c>
      <c r="G368" s="39" t="s">
        <v>42</v>
      </c>
      <c r="H368" s="39" t="s">
        <v>66</v>
      </c>
      <c r="I368" s="50">
        <v>17</v>
      </c>
      <c r="J368" s="51">
        <v>35000</v>
      </c>
      <c r="K368" s="51">
        <f t="shared" si="32"/>
        <v>35000</v>
      </c>
      <c r="L368" s="51">
        <f t="shared" si="28"/>
        <v>595000</v>
      </c>
      <c r="M368" s="39">
        <v>15</v>
      </c>
      <c r="N368" s="51">
        <f t="shared" si="29"/>
        <v>89250</v>
      </c>
      <c r="O368" s="51">
        <f t="shared" si="30"/>
        <v>505750</v>
      </c>
      <c r="P368" s="39" t="s">
        <v>51</v>
      </c>
      <c r="Q368" s="52" t="s">
        <v>41</v>
      </c>
      <c r="R368" s="27" t="s">
        <v>42</v>
      </c>
      <c r="S368" s="27" t="s">
        <v>66</v>
      </c>
    </row>
    <row r="369" spans="1:19" x14ac:dyDescent="0.3">
      <c r="A369" s="44" t="s">
        <v>838</v>
      </c>
      <c r="B369" s="45">
        <v>45617</v>
      </c>
      <c r="C369" s="38" t="s">
        <v>839</v>
      </c>
      <c r="D369" s="38" t="s">
        <v>109</v>
      </c>
      <c r="E369" s="38" t="s">
        <v>70</v>
      </c>
      <c r="F369" s="38" t="s">
        <v>82</v>
      </c>
      <c r="G369" s="38" t="s">
        <v>77</v>
      </c>
      <c r="H369" s="38" t="s">
        <v>66</v>
      </c>
      <c r="I369" s="46">
        <v>12</v>
      </c>
      <c r="J369" s="47">
        <v>220000</v>
      </c>
      <c r="K369" s="47">
        <f t="shared" si="32"/>
        <v>220000</v>
      </c>
      <c r="L369" s="47">
        <f t="shared" si="28"/>
        <v>2640000</v>
      </c>
      <c r="M369" s="38">
        <v>15</v>
      </c>
      <c r="N369" s="47">
        <f t="shared" si="29"/>
        <v>396000</v>
      </c>
      <c r="O369" s="47">
        <f t="shared" si="30"/>
        <v>2244000</v>
      </c>
      <c r="P369" s="38" t="s">
        <v>51</v>
      </c>
      <c r="Q369" s="43" t="s">
        <v>82</v>
      </c>
      <c r="R369" s="27" t="s">
        <v>77</v>
      </c>
      <c r="S369" s="27" t="s">
        <v>66</v>
      </c>
    </row>
    <row r="370" spans="1:19" x14ac:dyDescent="0.3">
      <c r="A370" s="48" t="s">
        <v>840</v>
      </c>
      <c r="B370" s="49">
        <v>45407</v>
      </c>
      <c r="C370" s="39" t="s">
        <v>841</v>
      </c>
      <c r="D370" s="39" t="s">
        <v>109</v>
      </c>
      <c r="E370" s="39" t="s">
        <v>49</v>
      </c>
      <c r="F370" s="39" t="s">
        <v>41</v>
      </c>
      <c r="G370" s="39" t="s">
        <v>42</v>
      </c>
      <c r="H370" s="39" t="s">
        <v>71</v>
      </c>
      <c r="I370" s="50">
        <v>7</v>
      </c>
      <c r="J370" s="51">
        <v>35000</v>
      </c>
      <c r="K370" s="51">
        <f t="shared" si="32"/>
        <v>35000</v>
      </c>
      <c r="L370" s="51">
        <f t="shared" si="28"/>
        <v>245000</v>
      </c>
      <c r="M370" s="39">
        <v>0</v>
      </c>
      <c r="N370" s="51">
        <f t="shared" si="29"/>
        <v>0</v>
      </c>
      <c r="O370" s="51">
        <f t="shared" si="30"/>
        <v>245000</v>
      </c>
      <c r="P370" s="39" t="s">
        <v>51</v>
      </c>
      <c r="Q370" s="52" t="s">
        <v>41</v>
      </c>
      <c r="R370" s="27" t="s">
        <v>42</v>
      </c>
      <c r="S370" s="27" t="s">
        <v>71</v>
      </c>
    </row>
    <row r="371" spans="1:19" x14ac:dyDescent="0.3">
      <c r="A371" s="44" t="s">
        <v>842</v>
      </c>
      <c r="B371" s="45">
        <v>45643</v>
      </c>
      <c r="C371" s="38" t="s">
        <v>843</v>
      </c>
      <c r="D371" s="38" t="s">
        <v>141</v>
      </c>
      <c r="E371" s="38" t="s">
        <v>40</v>
      </c>
      <c r="F371" s="38" t="s">
        <v>92</v>
      </c>
      <c r="G371" s="38" t="s">
        <v>77</v>
      </c>
      <c r="H371" s="38" t="s">
        <v>71</v>
      </c>
      <c r="I371" s="46">
        <v>6</v>
      </c>
      <c r="J371" s="47">
        <v>450000</v>
      </c>
      <c r="K371" s="47">
        <f t="shared" si="32"/>
        <v>450000</v>
      </c>
      <c r="L371" s="47">
        <f t="shared" si="28"/>
        <v>2700000</v>
      </c>
      <c r="M371" s="38">
        <v>20</v>
      </c>
      <c r="N371" s="47">
        <f t="shared" si="29"/>
        <v>540000</v>
      </c>
      <c r="O371" s="47">
        <f t="shared" si="30"/>
        <v>2160000</v>
      </c>
      <c r="P371" s="38" t="s">
        <v>44</v>
      </c>
      <c r="Q371" s="43" t="s">
        <v>92</v>
      </c>
      <c r="R371" s="27" t="s">
        <v>77</v>
      </c>
      <c r="S371" s="27" t="s">
        <v>71</v>
      </c>
    </row>
    <row r="372" spans="1:19" x14ac:dyDescent="0.3">
      <c r="A372" s="48" t="s">
        <v>844</v>
      </c>
      <c r="B372" s="49">
        <v>45506</v>
      </c>
      <c r="C372" s="39" t="s">
        <v>845</v>
      </c>
      <c r="D372" s="39" t="s">
        <v>75</v>
      </c>
      <c r="E372" s="39" t="s">
        <v>40</v>
      </c>
      <c r="F372" s="39" t="s">
        <v>50</v>
      </c>
      <c r="G372" s="39" t="s">
        <v>42</v>
      </c>
      <c r="H372" s="39" t="s">
        <v>66</v>
      </c>
      <c r="I372" s="50">
        <v>5</v>
      </c>
      <c r="J372" s="51">
        <v>18000</v>
      </c>
      <c r="K372" s="51">
        <f t="shared" si="32"/>
        <v>18000</v>
      </c>
      <c r="L372" s="51">
        <f t="shared" si="28"/>
        <v>90000</v>
      </c>
      <c r="M372" s="38">
        <v>0</v>
      </c>
      <c r="N372" s="47">
        <f t="shared" si="29"/>
        <v>0</v>
      </c>
      <c r="O372" s="47">
        <f t="shared" si="30"/>
        <v>90000</v>
      </c>
      <c r="P372" s="39" t="s">
        <v>131</v>
      </c>
      <c r="Q372" s="52" t="s">
        <v>50</v>
      </c>
      <c r="R372" s="27" t="s">
        <v>42</v>
      </c>
      <c r="S372" s="27" t="s">
        <v>66</v>
      </c>
    </row>
    <row r="373" spans="1:19" x14ac:dyDescent="0.3">
      <c r="A373" s="44" t="s">
        <v>846</v>
      </c>
      <c r="B373" s="45">
        <v>45546</v>
      </c>
      <c r="C373" s="38" t="s">
        <v>847</v>
      </c>
      <c r="D373" s="38" t="s">
        <v>39</v>
      </c>
      <c r="E373" s="38" t="s">
        <v>207</v>
      </c>
      <c r="F373" s="38" t="s">
        <v>82</v>
      </c>
      <c r="G373" s="38" t="s">
        <v>77</v>
      </c>
      <c r="H373" s="38" t="s">
        <v>43</v>
      </c>
      <c r="I373" s="46">
        <v>2</v>
      </c>
      <c r="J373" s="47">
        <v>220000</v>
      </c>
      <c r="K373" s="47">
        <f t="shared" si="32"/>
        <v>220000</v>
      </c>
      <c r="L373" s="47">
        <f t="shared" si="28"/>
        <v>440000</v>
      </c>
      <c r="M373" s="38">
        <v>0</v>
      </c>
      <c r="N373" s="47">
        <f t="shared" si="29"/>
        <v>0</v>
      </c>
      <c r="O373" s="47">
        <f t="shared" si="30"/>
        <v>440000</v>
      </c>
      <c r="P373" s="38" t="s">
        <v>164</v>
      </c>
      <c r="Q373" s="43" t="s">
        <v>82</v>
      </c>
      <c r="R373" s="27" t="s">
        <v>77</v>
      </c>
      <c r="S373" s="27" t="s">
        <v>43</v>
      </c>
    </row>
    <row r="374" spans="1:19" x14ac:dyDescent="0.3">
      <c r="A374" s="48" t="s">
        <v>848</v>
      </c>
      <c r="B374" s="49">
        <v>45610</v>
      </c>
      <c r="C374" s="39" t="s">
        <v>849</v>
      </c>
      <c r="D374" s="39" t="s">
        <v>154</v>
      </c>
      <c r="E374" s="39" t="s">
        <v>40</v>
      </c>
      <c r="F374" s="39" t="s">
        <v>76</v>
      </c>
      <c r="G374" s="39" t="s">
        <v>77</v>
      </c>
      <c r="H374" s="39" t="s">
        <v>71</v>
      </c>
      <c r="I374" s="50">
        <v>20</v>
      </c>
      <c r="J374" s="51">
        <v>180000</v>
      </c>
      <c r="K374" s="51">
        <f t="shared" si="32"/>
        <v>180000</v>
      </c>
      <c r="L374" s="51">
        <f t="shared" si="28"/>
        <v>3600000</v>
      </c>
      <c r="M374" s="39">
        <v>5</v>
      </c>
      <c r="N374" s="51">
        <f t="shared" si="29"/>
        <v>180000</v>
      </c>
      <c r="O374" s="51">
        <f t="shared" si="30"/>
        <v>3420000</v>
      </c>
      <c r="P374" s="39" t="s">
        <v>51</v>
      </c>
      <c r="Q374" s="52" t="s">
        <v>76</v>
      </c>
      <c r="R374" s="27" t="s">
        <v>77</v>
      </c>
      <c r="S374" s="27" t="s">
        <v>71</v>
      </c>
    </row>
    <row r="375" spans="1:19" x14ac:dyDescent="0.3">
      <c r="A375" s="44" t="s">
        <v>850</v>
      </c>
      <c r="B375" s="45">
        <v>45348</v>
      </c>
      <c r="C375" s="38" t="s">
        <v>851</v>
      </c>
      <c r="D375" s="38" t="s">
        <v>118</v>
      </c>
      <c r="E375" s="38" t="s">
        <v>70</v>
      </c>
      <c r="F375" s="38" t="s">
        <v>50</v>
      </c>
      <c r="G375" s="38" t="s">
        <v>42</v>
      </c>
      <c r="H375" s="38" t="s">
        <v>66</v>
      </c>
      <c r="I375" s="46">
        <v>4</v>
      </c>
      <c r="J375" s="47">
        <v>18000</v>
      </c>
      <c r="K375" s="47">
        <f t="shared" si="32"/>
        <v>18000</v>
      </c>
      <c r="L375" s="47">
        <f t="shared" si="28"/>
        <v>72000</v>
      </c>
      <c r="M375" s="38">
        <v>5</v>
      </c>
      <c r="N375" s="47">
        <f t="shared" si="29"/>
        <v>3600</v>
      </c>
      <c r="O375" s="47">
        <f t="shared" si="30"/>
        <v>68400</v>
      </c>
      <c r="P375" s="38" t="s">
        <v>44</v>
      </c>
      <c r="Q375" s="43" t="s">
        <v>50</v>
      </c>
      <c r="R375" s="27" t="s">
        <v>42</v>
      </c>
      <c r="S375" s="27" t="s">
        <v>66</v>
      </c>
    </row>
    <row r="376" spans="1:19" x14ac:dyDescent="0.3">
      <c r="A376" s="44" t="s">
        <v>852</v>
      </c>
      <c r="B376" s="45">
        <v>45459</v>
      </c>
      <c r="C376" s="38" t="s">
        <v>853</v>
      </c>
      <c r="D376" s="38" t="s">
        <v>81</v>
      </c>
      <c r="E376" s="38" t="s">
        <v>40</v>
      </c>
      <c r="F376" s="38" t="s">
        <v>99</v>
      </c>
      <c r="G376" s="38" t="s">
        <v>77</v>
      </c>
      <c r="H376" s="38" t="s">
        <v>71</v>
      </c>
      <c r="I376" s="46">
        <v>17</v>
      </c>
      <c r="J376" s="47">
        <v>95000</v>
      </c>
      <c r="K376" s="47">
        <f t="shared" si="32"/>
        <v>95000</v>
      </c>
      <c r="L376" s="47">
        <f t="shared" si="28"/>
        <v>1615000</v>
      </c>
      <c r="M376" s="38">
        <v>5</v>
      </c>
      <c r="N376" s="47">
        <f t="shared" si="29"/>
        <v>80750</v>
      </c>
      <c r="O376" s="47">
        <f t="shared" si="30"/>
        <v>1534250</v>
      </c>
      <c r="P376" s="38" t="s">
        <v>44</v>
      </c>
      <c r="Q376" s="43" t="s">
        <v>99</v>
      </c>
      <c r="R376" s="27" t="s">
        <v>77</v>
      </c>
      <c r="S376" s="27" t="s">
        <v>71</v>
      </c>
    </row>
    <row r="377" spans="1:19" x14ac:dyDescent="0.3">
      <c r="A377" s="48" t="s">
        <v>854</v>
      </c>
      <c r="B377" s="49">
        <v>45333</v>
      </c>
      <c r="C377" s="39" t="s">
        <v>855</v>
      </c>
      <c r="D377" s="39" t="s">
        <v>48</v>
      </c>
      <c r="E377" s="39" t="s">
        <v>70</v>
      </c>
      <c r="F377" s="39" t="s">
        <v>82</v>
      </c>
      <c r="G377" s="39" t="s">
        <v>77</v>
      </c>
      <c r="H377" s="39" t="s">
        <v>71</v>
      </c>
      <c r="I377" s="50">
        <v>3</v>
      </c>
      <c r="J377" s="51">
        <v>220000</v>
      </c>
      <c r="K377" s="51">
        <f t="shared" si="32"/>
        <v>220000</v>
      </c>
      <c r="L377" s="51">
        <f t="shared" si="28"/>
        <v>660000</v>
      </c>
      <c r="M377" s="39">
        <v>10</v>
      </c>
      <c r="N377" s="51">
        <f t="shared" si="29"/>
        <v>66000</v>
      </c>
      <c r="O377" s="51">
        <f t="shared" si="30"/>
        <v>594000</v>
      </c>
      <c r="P377" s="39" t="s">
        <v>51</v>
      </c>
      <c r="Q377" s="52" t="s">
        <v>82</v>
      </c>
      <c r="R377" s="27" t="s">
        <v>77</v>
      </c>
      <c r="S377" s="27" t="s">
        <v>71</v>
      </c>
    </row>
    <row r="378" spans="1:19" x14ac:dyDescent="0.3">
      <c r="A378" s="44" t="s">
        <v>856</v>
      </c>
      <c r="B378" s="45">
        <v>45513</v>
      </c>
      <c r="C378" s="38" t="s">
        <v>857</v>
      </c>
      <c r="D378" s="38" t="s">
        <v>48</v>
      </c>
      <c r="E378" s="38" t="s">
        <v>70</v>
      </c>
      <c r="F378" s="38" t="s">
        <v>57</v>
      </c>
      <c r="G378" s="38" t="s">
        <v>42</v>
      </c>
      <c r="H378" s="38" t="s">
        <v>71</v>
      </c>
      <c r="I378" s="46">
        <v>9</v>
      </c>
      <c r="J378" s="47">
        <v>28000</v>
      </c>
      <c r="K378" s="47">
        <f t="shared" si="32"/>
        <v>28000</v>
      </c>
      <c r="L378" s="47">
        <f t="shared" si="28"/>
        <v>252000</v>
      </c>
      <c r="M378" s="38">
        <v>5</v>
      </c>
      <c r="N378" s="47">
        <f t="shared" si="29"/>
        <v>12600</v>
      </c>
      <c r="O378" s="47">
        <f t="shared" si="30"/>
        <v>239400</v>
      </c>
      <c r="P378" s="38" t="s">
        <v>51</v>
      </c>
      <c r="Q378" s="43" t="s">
        <v>57</v>
      </c>
      <c r="R378" s="27" t="s">
        <v>42</v>
      </c>
      <c r="S378" s="27" t="s">
        <v>71</v>
      </c>
    </row>
    <row r="379" spans="1:19" x14ac:dyDescent="0.3">
      <c r="A379" s="48" t="s">
        <v>858</v>
      </c>
      <c r="B379" s="49">
        <v>45569</v>
      </c>
      <c r="C379" s="39" t="s">
        <v>859</v>
      </c>
      <c r="D379" s="39" t="s">
        <v>154</v>
      </c>
      <c r="E379" s="39" t="s">
        <v>40</v>
      </c>
      <c r="F379" s="39" t="s">
        <v>92</v>
      </c>
      <c r="G379" s="39" t="s">
        <v>77</v>
      </c>
      <c r="H379" s="39" t="s">
        <v>71</v>
      </c>
      <c r="I379" s="50">
        <v>15</v>
      </c>
      <c r="J379" s="51">
        <v>450000</v>
      </c>
      <c r="K379" s="51">
        <f t="shared" si="32"/>
        <v>450000</v>
      </c>
      <c r="L379" s="51">
        <f t="shared" si="28"/>
        <v>6750000</v>
      </c>
      <c r="M379" s="39">
        <v>10</v>
      </c>
      <c r="N379" s="51">
        <f t="shared" si="29"/>
        <v>675000</v>
      </c>
      <c r="O379" s="51">
        <f t="shared" si="30"/>
        <v>6075000</v>
      </c>
      <c r="P379" s="39" t="s">
        <v>51</v>
      </c>
      <c r="Q379" s="52" t="s">
        <v>92</v>
      </c>
      <c r="R379" s="27" t="s">
        <v>77</v>
      </c>
      <c r="S379" s="27" t="s">
        <v>71</v>
      </c>
    </row>
    <row r="380" spans="1:19" x14ac:dyDescent="0.3">
      <c r="A380" s="44" t="s">
        <v>860</v>
      </c>
      <c r="B380" s="45">
        <v>45362</v>
      </c>
      <c r="C380" s="38" t="s">
        <v>861</v>
      </c>
      <c r="D380" s="38" t="s">
        <v>39</v>
      </c>
      <c r="E380" s="38" t="s">
        <v>40</v>
      </c>
      <c r="F380" s="38" t="s">
        <v>92</v>
      </c>
      <c r="G380" s="38" t="s">
        <v>77</v>
      </c>
      <c r="H380" s="38" t="s">
        <v>66</v>
      </c>
      <c r="I380" s="46">
        <v>20</v>
      </c>
      <c r="J380" s="47">
        <v>450000</v>
      </c>
      <c r="K380" s="47">
        <f t="shared" si="32"/>
        <v>450000</v>
      </c>
      <c r="L380" s="47">
        <f t="shared" si="28"/>
        <v>9000000</v>
      </c>
      <c r="M380" s="38">
        <v>10</v>
      </c>
      <c r="N380" s="47">
        <f t="shared" si="29"/>
        <v>900000</v>
      </c>
      <c r="O380" s="47">
        <f t="shared" si="30"/>
        <v>8100000</v>
      </c>
      <c r="P380" s="38" t="s">
        <v>131</v>
      </c>
      <c r="Q380" s="43" t="s">
        <v>92</v>
      </c>
      <c r="R380" s="27" t="s">
        <v>77</v>
      </c>
      <c r="S380" s="27" t="s">
        <v>66</v>
      </c>
    </row>
    <row r="381" spans="1:19" x14ac:dyDescent="0.3">
      <c r="A381" s="48" t="s">
        <v>862</v>
      </c>
      <c r="B381" s="49">
        <v>45357</v>
      </c>
      <c r="C381" s="39" t="s">
        <v>863</v>
      </c>
      <c r="D381" s="39" t="s">
        <v>55</v>
      </c>
      <c r="E381" s="39" t="s">
        <v>40</v>
      </c>
      <c r="F381" s="39" t="s">
        <v>61</v>
      </c>
      <c r="G381" s="39" t="s">
        <v>42</v>
      </c>
      <c r="H381" s="39" t="s">
        <v>66</v>
      </c>
      <c r="I381" s="50">
        <v>12</v>
      </c>
      <c r="J381" s="51">
        <v>22000</v>
      </c>
      <c r="K381" s="51">
        <f t="shared" si="32"/>
        <v>22000</v>
      </c>
      <c r="L381" s="51">
        <f t="shared" si="28"/>
        <v>264000</v>
      </c>
      <c r="M381" s="39">
        <v>20</v>
      </c>
      <c r="N381" s="51">
        <f t="shared" si="29"/>
        <v>52800</v>
      </c>
      <c r="O381" s="51">
        <f t="shared" si="30"/>
        <v>211200</v>
      </c>
      <c r="P381" s="39" t="s">
        <v>51</v>
      </c>
      <c r="Q381" s="52" t="s">
        <v>61</v>
      </c>
      <c r="R381" s="27" t="s">
        <v>42</v>
      </c>
      <c r="S381" s="27" t="s">
        <v>66</v>
      </c>
    </row>
    <row r="382" spans="1:19" x14ac:dyDescent="0.3">
      <c r="A382" s="44" t="s">
        <v>864</v>
      </c>
      <c r="B382" s="45">
        <v>45372</v>
      </c>
      <c r="C382" s="38" t="s">
        <v>865</v>
      </c>
      <c r="D382" s="38" t="s">
        <v>48</v>
      </c>
      <c r="E382" s="38" t="s">
        <v>40</v>
      </c>
      <c r="F382" s="38" t="s">
        <v>82</v>
      </c>
      <c r="G382" s="38" t="s">
        <v>77</v>
      </c>
      <c r="H382" s="38" t="s">
        <v>43</v>
      </c>
      <c r="I382" s="46">
        <v>13</v>
      </c>
      <c r="J382" s="47">
        <v>220000</v>
      </c>
      <c r="K382" s="47">
        <f t="shared" si="32"/>
        <v>220000</v>
      </c>
      <c r="L382" s="47">
        <f t="shared" si="28"/>
        <v>2860000</v>
      </c>
      <c r="M382" s="38">
        <v>20</v>
      </c>
      <c r="N382" s="47">
        <f t="shared" si="29"/>
        <v>572000</v>
      </c>
      <c r="O382" s="47">
        <f t="shared" si="30"/>
        <v>2288000</v>
      </c>
      <c r="P382" s="38" t="s">
        <v>51</v>
      </c>
      <c r="Q382" s="43" t="s">
        <v>82</v>
      </c>
      <c r="R382" s="27" t="s">
        <v>77</v>
      </c>
      <c r="S382" s="27" t="s">
        <v>43</v>
      </c>
    </row>
    <row r="383" spans="1:19" x14ac:dyDescent="0.3">
      <c r="A383" s="48" t="s">
        <v>866</v>
      </c>
      <c r="B383" s="49">
        <v>45319</v>
      </c>
      <c r="C383" s="39" t="s">
        <v>867</v>
      </c>
      <c r="D383" s="39" t="s">
        <v>75</v>
      </c>
      <c r="E383" s="39" t="s">
        <v>40</v>
      </c>
      <c r="F383" s="39" t="s">
        <v>92</v>
      </c>
      <c r="G383" s="39" t="s">
        <v>77</v>
      </c>
      <c r="H383" s="39" t="s">
        <v>71</v>
      </c>
      <c r="I383" s="50">
        <v>19</v>
      </c>
      <c r="J383" s="51">
        <v>450000</v>
      </c>
      <c r="K383" s="51">
        <f t="shared" si="32"/>
        <v>450000</v>
      </c>
      <c r="L383" s="51">
        <f t="shared" si="28"/>
        <v>8550000</v>
      </c>
      <c r="M383" s="39">
        <v>15</v>
      </c>
      <c r="N383" s="51">
        <f t="shared" si="29"/>
        <v>1282500</v>
      </c>
      <c r="O383" s="51">
        <f t="shared" si="30"/>
        <v>7267500</v>
      </c>
      <c r="P383" s="39" t="s">
        <v>51</v>
      </c>
      <c r="Q383" s="52" t="s">
        <v>92</v>
      </c>
      <c r="R383" s="27" t="s">
        <v>77</v>
      </c>
      <c r="S383" s="27" t="s">
        <v>71</v>
      </c>
    </row>
    <row r="384" spans="1:19" x14ac:dyDescent="0.3">
      <c r="A384" s="44" t="s">
        <v>868</v>
      </c>
      <c r="B384" s="45">
        <v>45456</v>
      </c>
      <c r="C384" s="38" t="s">
        <v>869</v>
      </c>
      <c r="D384" s="38" t="s">
        <v>55</v>
      </c>
      <c r="E384" s="38" t="s">
        <v>40</v>
      </c>
      <c r="F384" s="38" t="s">
        <v>92</v>
      </c>
      <c r="G384" s="38" t="s">
        <v>77</v>
      </c>
      <c r="H384" s="38" t="s">
        <v>71</v>
      </c>
      <c r="I384" s="46">
        <v>2</v>
      </c>
      <c r="J384" s="47">
        <v>450000</v>
      </c>
      <c r="K384" s="47">
        <f t="shared" si="32"/>
        <v>450000</v>
      </c>
      <c r="L384" s="47">
        <f t="shared" si="28"/>
        <v>900000</v>
      </c>
      <c r="M384" s="38">
        <v>5</v>
      </c>
      <c r="N384" s="47">
        <f t="shared" si="29"/>
        <v>45000</v>
      </c>
      <c r="O384" s="47">
        <f t="shared" si="30"/>
        <v>855000</v>
      </c>
      <c r="P384" s="38" t="s">
        <v>44</v>
      </c>
      <c r="Q384" s="43" t="s">
        <v>92</v>
      </c>
      <c r="R384" s="27" t="s">
        <v>77</v>
      </c>
      <c r="S384" s="27" t="s">
        <v>71</v>
      </c>
    </row>
    <row r="385" spans="1:19" x14ac:dyDescent="0.3">
      <c r="A385" s="48" t="s">
        <v>870</v>
      </c>
      <c r="B385" s="49">
        <v>45540</v>
      </c>
      <c r="C385" s="39" t="s">
        <v>871</v>
      </c>
      <c r="D385" s="39" t="s">
        <v>48</v>
      </c>
      <c r="E385" s="39" t="s">
        <v>528</v>
      </c>
      <c r="F385" s="39" t="s">
        <v>92</v>
      </c>
      <c r="G385" s="39" t="s">
        <v>77</v>
      </c>
      <c r="H385" s="39" t="s">
        <v>66</v>
      </c>
      <c r="I385" s="50">
        <v>15</v>
      </c>
      <c r="J385" s="51">
        <v>450000</v>
      </c>
      <c r="K385" s="51">
        <f t="shared" si="32"/>
        <v>450000</v>
      </c>
      <c r="L385" s="51">
        <f t="shared" si="28"/>
        <v>6750000</v>
      </c>
      <c r="M385" s="39">
        <v>20</v>
      </c>
      <c r="N385" s="51">
        <f t="shared" si="29"/>
        <v>1350000</v>
      </c>
      <c r="O385" s="51">
        <f t="shared" si="30"/>
        <v>5400000</v>
      </c>
      <c r="P385" s="39" t="s">
        <v>86</v>
      </c>
      <c r="Q385" s="52" t="s">
        <v>92</v>
      </c>
      <c r="R385" s="27" t="s">
        <v>77</v>
      </c>
      <c r="S385" s="27" t="s">
        <v>66</v>
      </c>
    </row>
    <row r="386" spans="1:19" x14ac:dyDescent="0.3">
      <c r="A386" s="44" t="s">
        <v>873</v>
      </c>
      <c r="B386" s="45">
        <v>45299</v>
      </c>
      <c r="C386" s="38" t="s">
        <v>874</v>
      </c>
      <c r="D386" s="38" t="s">
        <v>154</v>
      </c>
      <c r="E386" s="38" t="s">
        <v>56</v>
      </c>
      <c r="F386" s="38" t="s">
        <v>76</v>
      </c>
      <c r="G386" s="38" t="s">
        <v>77</v>
      </c>
      <c r="H386" s="38" t="s">
        <v>43</v>
      </c>
      <c r="I386" s="46">
        <v>11</v>
      </c>
      <c r="J386" s="47">
        <v>180000</v>
      </c>
      <c r="K386" s="47">
        <f t="shared" si="32"/>
        <v>180000</v>
      </c>
      <c r="L386" s="47">
        <f t="shared" ref="L386:L428" si="33">I386*K386</f>
        <v>1980000</v>
      </c>
      <c r="M386" s="38">
        <v>20</v>
      </c>
      <c r="N386" s="47">
        <f t="shared" ref="N386:N428" si="34">M386/100 * L386</f>
        <v>396000</v>
      </c>
      <c r="O386" s="47">
        <f t="shared" ref="O386:O428" si="35">L386-N386</f>
        <v>1584000</v>
      </c>
      <c r="P386" s="38" t="s">
        <v>44</v>
      </c>
      <c r="Q386" s="43" t="s">
        <v>76</v>
      </c>
      <c r="R386" s="27" t="s">
        <v>77</v>
      </c>
      <c r="S386" s="27" t="s">
        <v>43</v>
      </c>
    </row>
    <row r="387" spans="1:19" x14ac:dyDescent="0.3">
      <c r="A387" s="48" t="s">
        <v>875</v>
      </c>
      <c r="B387" s="49">
        <v>45353</v>
      </c>
      <c r="C387" s="39" t="s">
        <v>876</v>
      </c>
      <c r="D387" s="39" t="s">
        <v>141</v>
      </c>
      <c r="E387" s="39" t="s">
        <v>40</v>
      </c>
      <c r="F387" s="39" t="s">
        <v>50</v>
      </c>
      <c r="G387" s="39" t="s">
        <v>42</v>
      </c>
      <c r="H387" s="39" t="s">
        <v>43</v>
      </c>
      <c r="I387" s="50">
        <v>17</v>
      </c>
      <c r="J387" s="51">
        <v>18000</v>
      </c>
      <c r="K387" s="51">
        <f t="shared" si="32"/>
        <v>18000</v>
      </c>
      <c r="L387" s="51">
        <f t="shared" si="33"/>
        <v>306000</v>
      </c>
      <c r="M387" s="39">
        <v>15</v>
      </c>
      <c r="N387" s="51">
        <f t="shared" si="34"/>
        <v>45900</v>
      </c>
      <c r="O387" s="51">
        <f t="shared" si="35"/>
        <v>260100</v>
      </c>
      <c r="P387" s="39" t="s">
        <v>51</v>
      </c>
      <c r="Q387" s="52" t="s">
        <v>50</v>
      </c>
      <c r="R387" s="27" t="s">
        <v>42</v>
      </c>
      <c r="S387" s="27" t="s">
        <v>43</v>
      </c>
    </row>
    <row r="388" spans="1:19" x14ac:dyDescent="0.3">
      <c r="A388" s="48" t="s">
        <v>877</v>
      </c>
      <c r="B388" s="49">
        <v>45489</v>
      </c>
      <c r="C388" s="39" t="s">
        <v>843</v>
      </c>
      <c r="D388" s="39" t="s">
        <v>81</v>
      </c>
      <c r="E388" s="39" t="s">
        <v>56</v>
      </c>
      <c r="F388" s="39" t="s">
        <v>57</v>
      </c>
      <c r="G388" s="39" t="s">
        <v>42</v>
      </c>
      <c r="H388" s="39" t="s">
        <v>71</v>
      </c>
      <c r="I388" s="50">
        <v>6</v>
      </c>
      <c r="J388" s="51">
        <v>28000</v>
      </c>
      <c r="K388" s="51">
        <f t="shared" si="32"/>
        <v>28000</v>
      </c>
      <c r="L388" s="51">
        <f t="shared" si="33"/>
        <v>168000</v>
      </c>
      <c r="M388" s="39">
        <v>5</v>
      </c>
      <c r="N388" s="51">
        <f t="shared" si="34"/>
        <v>8400</v>
      </c>
      <c r="O388" s="51">
        <f t="shared" si="35"/>
        <v>159600</v>
      </c>
      <c r="P388" s="39" t="s">
        <v>51</v>
      </c>
      <c r="Q388" s="52" t="s">
        <v>57</v>
      </c>
      <c r="R388" s="27" t="s">
        <v>42</v>
      </c>
      <c r="S388" s="27" t="s">
        <v>71</v>
      </c>
    </row>
    <row r="389" spans="1:19" x14ac:dyDescent="0.3">
      <c r="A389" s="44" t="s">
        <v>878</v>
      </c>
      <c r="B389" s="45">
        <v>45560</v>
      </c>
      <c r="C389" s="38" t="s">
        <v>879</v>
      </c>
      <c r="D389" s="38" t="s">
        <v>48</v>
      </c>
      <c r="E389" s="38" t="s">
        <v>40</v>
      </c>
      <c r="F389" s="38" t="s">
        <v>99</v>
      </c>
      <c r="G389" s="38" t="s">
        <v>77</v>
      </c>
      <c r="H389" s="38" t="s">
        <v>71</v>
      </c>
      <c r="I389" s="46">
        <v>15</v>
      </c>
      <c r="J389" s="47">
        <v>95000</v>
      </c>
      <c r="K389" s="47">
        <f t="shared" si="32"/>
        <v>95000</v>
      </c>
      <c r="L389" s="47">
        <f t="shared" si="33"/>
        <v>1425000</v>
      </c>
      <c r="M389" s="38">
        <v>0</v>
      </c>
      <c r="N389" s="47">
        <f t="shared" si="34"/>
        <v>0</v>
      </c>
      <c r="O389" s="47">
        <f t="shared" si="35"/>
        <v>1425000</v>
      </c>
      <c r="P389" s="38" t="s">
        <v>44</v>
      </c>
      <c r="Q389" s="43" t="s">
        <v>99</v>
      </c>
      <c r="R389" s="27" t="s">
        <v>77</v>
      </c>
      <c r="S389" s="27" t="s">
        <v>71</v>
      </c>
    </row>
    <row r="390" spans="1:19" x14ac:dyDescent="0.3">
      <c r="A390" s="48" t="s">
        <v>880</v>
      </c>
      <c r="B390" s="49">
        <v>45376</v>
      </c>
      <c r="C390" s="39" t="s">
        <v>881</v>
      </c>
      <c r="D390" s="39" t="s">
        <v>39</v>
      </c>
      <c r="E390" s="39" t="s">
        <v>70</v>
      </c>
      <c r="F390" s="39" t="s">
        <v>99</v>
      </c>
      <c r="G390" s="39" t="s">
        <v>77</v>
      </c>
      <c r="H390" s="39" t="s">
        <v>43</v>
      </c>
      <c r="I390" s="50">
        <v>12</v>
      </c>
      <c r="J390" s="51">
        <v>95000</v>
      </c>
      <c r="K390" s="51">
        <f t="shared" si="32"/>
        <v>95000</v>
      </c>
      <c r="L390" s="51">
        <f t="shared" si="33"/>
        <v>1140000</v>
      </c>
      <c r="M390" s="39">
        <v>5</v>
      </c>
      <c r="N390" s="51">
        <f t="shared" si="34"/>
        <v>57000</v>
      </c>
      <c r="O390" s="51">
        <f t="shared" si="35"/>
        <v>1083000</v>
      </c>
      <c r="P390" s="39" t="s">
        <v>86</v>
      </c>
      <c r="Q390" s="52" t="s">
        <v>99</v>
      </c>
      <c r="R390" s="27" t="s">
        <v>77</v>
      </c>
      <c r="S390" s="27" t="s">
        <v>43</v>
      </c>
    </row>
    <row r="391" spans="1:19" x14ac:dyDescent="0.3">
      <c r="A391" s="44" t="s">
        <v>882</v>
      </c>
      <c r="B391" s="45">
        <v>45460</v>
      </c>
      <c r="C391" s="38" t="s">
        <v>883</v>
      </c>
      <c r="D391" s="38" t="s">
        <v>141</v>
      </c>
      <c r="E391" s="38" t="s">
        <v>70</v>
      </c>
      <c r="F391" s="38" t="s">
        <v>61</v>
      </c>
      <c r="G391" s="38" t="s">
        <v>42</v>
      </c>
      <c r="H391" s="38" t="s">
        <v>71</v>
      </c>
      <c r="I391" s="46">
        <v>15</v>
      </c>
      <c r="J391" s="47">
        <v>22000</v>
      </c>
      <c r="K391" s="47">
        <f t="shared" si="32"/>
        <v>22000</v>
      </c>
      <c r="L391" s="47">
        <f t="shared" si="33"/>
        <v>330000</v>
      </c>
      <c r="M391" s="38">
        <v>20</v>
      </c>
      <c r="N391" s="47">
        <f t="shared" si="34"/>
        <v>66000</v>
      </c>
      <c r="O391" s="47">
        <f t="shared" si="35"/>
        <v>264000</v>
      </c>
      <c r="P391" s="38" t="s">
        <v>51</v>
      </c>
      <c r="Q391" s="43" t="s">
        <v>61</v>
      </c>
      <c r="R391" s="27" t="s">
        <v>42</v>
      </c>
      <c r="S391" s="27" t="s">
        <v>71</v>
      </c>
    </row>
    <row r="392" spans="1:19" x14ac:dyDescent="0.3">
      <c r="A392" s="48" t="s">
        <v>884</v>
      </c>
      <c r="B392" s="49">
        <v>45531</v>
      </c>
      <c r="C392" s="39" t="s">
        <v>885</v>
      </c>
      <c r="D392" s="39" t="s">
        <v>81</v>
      </c>
      <c r="E392" s="39" t="s">
        <v>49</v>
      </c>
      <c r="F392" s="39" t="s">
        <v>57</v>
      </c>
      <c r="G392" s="39" t="s">
        <v>42</v>
      </c>
      <c r="H392" s="39" t="s">
        <v>66</v>
      </c>
      <c r="I392" s="50">
        <v>20</v>
      </c>
      <c r="J392" s="51">
        <v>28000</v>
      </c>
      <c r="K392" s="51">
        <f t="shared" si="32"/>
        <v>28000</v>
      </c>
      <c r="L392" s="51">
        <f t="shared" si="33"/>
        <v>560000</v>
      </c>
      <c r="M392" s="39">
        <v>15</v>
      </c>
      <c r="N392" s="51">
        <f t="shared" si="34"/>
        <v>84000</v>
      </c>
      <c r="O392" s="51">
        <f t="shared" si="35"/>
        <v>476000</v>
      </c>
      <c r="P392" s="39" t="s">
        <v>51</v>
      </c>
      <c r="Q392" s="52" t="s">
        <v>57</v>
      </c>
      <c r="R392" s="27" t="s">
        <v>42</v>
      </c>
      <c r="S392" s="27" t="s">
        <v>66</v>
      </c>
    </row>
    <row r="393" spans="1:19" x14ac:dyDescent="0.3">
      <c r="A393" s="44" t="s">
        <v>886</v>
      </c>
      <c r="B393" s="45">
        <v>45640</v>
      </c>
      <c r="C393" s="38" t="s">
        <v>887</v>
      </c>
      <c r="D393" s="38" t="s">
        <v>154</v>
      </c>
      <c r="E393" s="38" t="s">
        <v>49</v>
      </c>
      <c r="F393" s="38" t="s">
        <v>82</v>
      </c>
      <c r="G393" s="38" t="s">
        <v>77</v>
      </c>
      <c r="H393" s="38" t="s">
        <v>71</v>
      </c>
      <c r="I393" s="46">
        <v>18</v>
      </c>
      <c r="J393" s="47">
        <v>220000</v>
      </c>
      <c r="K393" s="47">
        <f t="shared" ref="K393:K402" si="36">J393</f>
        <v>220000</v>
      </c>
      <c r="L393" s="47">
        <f t="shared" si="33"/>
        <v>3960000</v>
      </c>
      <c r="M393" s="38">
        <v>10</v>
      </c>
      <c r="N393" s="47">
        <f t="shared" si="34"/>
        <v>396000</v>
      </c>
      <c r="O393" s="47">
        <f t="shared" si="35"/>
        <v>3564000</v>
      </c>
      <c r="P393" s="38" t="s">
        <v>51</v>
      </c>
      <c r="Q393" s="43" t="s">
        <v>82</v>
      </c>
      <c r="R393" s="27" t="s">
        <v>77</v>
      </c>
      <c r="S393" s="27" t="s">
        <v>71</v>
      </c>
    </row>
    <row r="394" spans="1:19" x14ac:dyDescent="0.3">
      <c r="A394" s="48" t="s">
        <v>888</v>
      </c>
      <c r="B394" s="49">
        <v>45402</v>
      </c>
      <c r="C394" s="39" t="s">
        <v>889</v>
      </c>
      <c r="D394" s="39" t="s">
        <v>39</v>
      </c>
      <c r="E394" s="39" t="s">
        <v>49</v>
      </c>
      <c r="F394" s="39" t="s">
        <v>61</v>
      </c>
      <c r="G394" s="39" t="s">
        <v>42</v>
      </c>
      <c r="H394" s="39" t="s">
        <v>43</v>
      </c>
      <c r="I394" s="50">
        <v>4</v>
      </c>
      <c r="J394" s="51">
        <v>22000</v>
      </c>
      <c r="K394" s="51">
        <f t="shared" si="36"/>
        <v>22000</v>
      </c>
      <c r="L394" s="51">
        <f t="shared" si="33"/>
        <v>88000</v>
      </c>
      <c r="M394" s="39">
        <v>5</v>
      </c>
      <c r="N394" s="51">
        <f t="shared" si="34"/>
        <v>4400</v>
      </c>
      <c r="O394" s="51">
        <f t="shared" si="35"/>
        <v>83600</v>
      </c>
      <c r="P394" s="39" t="s">
        <v>51</v>
      </c>
      <c r="Q394" s="52" t="s">
        <v>61</v>
      </c>
      <c r="R394" s="27" t="s">
        <v>42</v>
      </c>
      <c r="S394" s="27" t="s">
        <v>43</v>
      </c>
    </row>
    <row r="395" spans="1:19" x14ac:dyDescent="0.3">
      <c r="A395" s="44" t="s">
        <v>890</v>
      </c>
      <c r="B395" s="45">
        <v>45373</v>
      </c>
      <c r="C395" s="38" t="s">
        <v>891</v>
      </c>
      <c r="D395" s="38" t="s">
        <v>109</v>
      </c>
      <c r="E395" s="38" t="s">
        <v>56</v>
      </c>
      <c r="F395" s="38" t="s">
        <v>92</v>
      </c>
      <c r="G395" s="38" t="s">
        <v>77</v>
      </c>
      <c r="H395" s="38" t="s">
        <v>71</v>
      </c>
      <c r="I395" s="46">
        <v>19</v>
      </c>
      <c r="J395" s="47">
        <v>450000</v>
      </c>
      <c r="K395" s="47">
        <f t="shared" si="36"/>
        <v>450000</v>
      </c>
      <c r="L395" s="47">
        <f t="shared" si="33"/>
        <v>8550000</v>
      </c>
      <c r="M395" s="38">
        <v>10</v>
      </c>
      <c r="N395" s="47">
        <f t="shared" si="34"/>
        <v>855000</v>
      </c>
      <c r="O395" s="47">
        <f t="shared" si="35"/>
        <v>7695000</v>
      </c>
      <c r="P395" s="38" t="s">
        <v>44</v>
      </c>
      <c r="Q395" s="43" t="s">
        <v>92</v>
      </c>
      <c r="R395" s="27" t="s">
        <v>77</v>
      </c>
      <c r="S395" s="27" t="s">
        <v>71</v>
      </c>
    </row>
    <row r="396" spans="1:19" x14ac:dyDescent="0.3">
      <c r="A396" s="48" t="s">
        <v>892</v>
      </c>
      <c r="B396" s="49">
        <v>45451</v>
      </c>
      <c r="C396" s="39" t="s">
        <v>893</v>
      </c>
      <c r="D396" s="39" t="s">
        <v>141</v>
      </c>
      <c r="E396" s="39" t="s">
        <v>70</v>
      </c>
      <c r="F396" s="39" t="s">
        <v>50</v>
      </c>
      <c r="G396" s="39" t="s">
        <v>42</v>
      </c>
      <c r="H396" s="39" t="s">
        <v>66</v>
      </c>
      <c r="I396" s="50">
        <v>2</v>
      </c>
      <c r="J396" s="51">
        <v>18000</v>
      </c>
      <c r="K396" s="51">
        <f t="shared" si="36"/>
        <v>18000</v>
      </c>
      <c r="L396" s="51">
        <f t="shared" si="33"/>
        <v>36000</v>
      </c>
      <c r="M396" s="39">
        <v>20</v>
      </c>
      <c r="N396" s="51">
        <f t="shared" si="34"/>
        <v>7200</v>
      </c>
      <c r="O396" s="51">
        <f t="shared" si="35"/>
        <v>28800</v>
      </c>
      <c r="P396" s="39" t="s">
        <v>51</v>
      </c>
      <c r="Q396" s="52" t="s">
        <v>50</v>
      </c>
      <c r="R396" s="27" t="s">
        <v>42</v>
      </c>
      <c r="S396" s="27" t="s">
        <v>66</v>
      </c>
    </row>
    <row r="397" spans="1:19" x14ac:dyDescent="0.3">
      <c r="A397" s="44" t="s">
        <v>894</v>
      </c>
      <c r="B397" s="45">
        <v>45372</v>
      </c>
      <c r="C397" s="38" t="s">
        <v>895</v>
      </c>
      <c r="D397" s="38" t="s">
        <v>75</v>
      </c>
      <c r="E397" s="38" t="s">
        <v>40</v>
      </c>
      <c r="F397" s="38" t="s">
        <v>41</v>
      </c>
      <c r="G397" s="38" t="s">
        <v>42</v>
      </c>
      <c r="H397" s="38" t="s">
        <v>71</v>
      </c>
      <c r="I397" s="46">
        <v>1</v>
      </c>
      <c r="J397" s="47">
        <v>35000</v>
      </c>
      <c r="K397" s="47">
        <f t="shared" si="36"/>
        <v>35000</v>
      </c>
      <c r="L397" s="47">
        <f t="shared" si="33"/>
        <v>35000</v>
      </c>
      <c r="M397" s="38">
        <v>5</v>
      </c>
      <c r="N397" s="47">
        <f t="shared" si="34"/>
        <v>1750</v>
      </c>
      <c r="O397" s="47">
        <f t="shared" si="35"/>
        <v>33250</v>
      </c>
      <c r="P397" s="38" t="s">
        <v>51</v>
      </c>
      <c r="Q397" s="43" t="s">
        <v>41</v>
      </c>
      <c r="R397" s="27" t="s">
        <v>42</v>
      </c>
      <c r="S397" s="27" t="s">
        <v>71</v>
      </c>
    </row>
    <row r="398" spans="1:19" x14ac:dyDescent="0.3">
      <c r="A398" s="48" t="s">
        <v>896</v>
      </c>
      <c r="B398" s="49">
        <v>45527</v>
      </c>
      <c r="C398" s="39" t="s">
        <v>897</v>
      </c>
      <c r="D398" s="39" t="s">
        <v>39</v>
      </c>
      <c r="E398" s="39" t="s">
        <v>70</v>
      </c>
      <c r="F398" s="39" t="s">
        <v>92</v>
      </c>
      <c r="G398" s="39" t="s">
        <v>77</v>
      </c>
      <c r="H398" s="39" t="s">
        <v>66</v>
      </c>
      <c r="I398" s="50">
        <v>15</v>
      </c>
      <c r="J398" s="51">
        <v>450000</v>
      </c>
      <c r="K398" s="51">
        <f t="shared" si="36"/>
        <v>450000</v>
      </c>
      <c r="L398" s="51">
        <f t="shared" si="33"/>
        <v>6750000</v>
      </c>
      <c r="M398" s="39">
        <v>0</v>
      </c>
      <c r="N398" s="51">
        <f t="shared" si="34"/>
        <v>0</v>
      </c>
      <c r="O398" s="51">
        <f t="shared" si="35"/>
        <v>6750000</v>
      </c>
      <c r="P398" s="39" t="s">
        <v>131</v>
      </c>
      <c r="Q398" s="52" t="s">
        <v>92</v>
      </c>
      <c r="R398" s="27" t="s">
        <v>77</v>
      </c>
      <c r="S398" s="27" t="s">
        <v>66</v>
      </c>
    </row>
    <row r="399" spans="1:19" x14ac:dyDescent="0.3">
      <c r="A399" s="44" t="s">
        <v>898</v>
      </c>
      <c r="B399" s="45">
        <v>45652</v>
      </c>
      <c r="C399" s="38" t="s">
        <v>899</v>
      </c>
      <c r="D399" s="38" t="s">
        <v>109</v>
      </c>
      <c r="E399" s="38" t="s">
        <v>40</v>
      </c>
      <c r="F399" s="38" t="s">
        <v>92</v>
      </c>
      <c r="G399" s="38" t="s">
        <v>77</v>
      </c>
      <c r="H399" s="38" t="s">
        <v>71</v>
      </c>
      <c r="I399" s="46">
        <v>14</v>
      </c>
      <c r="J399" s="47">
        <v>450000</v>
      </c>
      <c r="K399" s="47">
        <f t="shared" si="36"/>
        <v>450000</v>
      </c>
      <c r="L399" s="47">
        <f t="shared" si="33"/>
        <v>6300000</v>
      </c>
      <c r="M399" s="38">
        <v>15</v>
      </c>
      <c r="N399" s="47">
        <f t="shared" si="34"/>
        <v>945000</v>
      </c>
      <c r="O399" s="47">
        <f t="shared" si="35"/>
        <v>5355000</v>
      </c>
      <c r="P399" s="38" t="s">
        <v>131</v>
      </c>
      <c r="Q399" s="43" t="s">
        <v>92</v>
      </c>
      <c r="R399" s="27" t="s">
        <v>77</v>
      </c>
      <c r="S399" s="27" t="s">
        <v>71</v>
      </c>
    </row>
    <row r="400" spans="1:19" x14ac:dyDescent="0.3">
      <c r="A400" s="48" t="s">
        <v>900</v>
      </c>
      <c r="B400" s="49">
        <v>45522</v>
      </c>
      <c r="C400" s="39" t="s">
        <v>901</v>
      </c>
      <c r="D400" s="39" t="s">
        <v>55</v>
      </c>
      <c r="E400" s="39" t="s">
        <v>40</v>
      </c>
      <c r="F400" s="39" t="s">
        <v>92</v>
      </c>
      <c r="G400" s="39" t="s">
        <v>77</v>
      </c>
      <c r="H400" s="39" t="s">
        <v>66</v>
      </c>
      <c r="I400" s="50">
        <v>6</v>
      </c>
      <c r="J400" s="51">
        <v>450000</v>
      </c>
      <c r="K400" s="51">
        <f t="shared" si="36"/>
        <v>450000</v>
      </c>
      <c r="L400" s="51">
        <f t="shared" si="33"/>
        <v>2700000</v>
      </c>
      <c r="M400" s="39">
        <v>15</v>
      </c>
      <c r="N400" s="51">
        <f t="shared" si="34"/>
        <v>405000</v>
      </c>
      <c r="O400" s="51">
        <f t="shared" si="35"/>
        <v>2295000</v>
      </c>
      <c r="P400" s="39" t="s">
        <v>131</v>
      </c>
      <c r="Q400" s="52" t="s">
        <v>92</v>
      </c>
      <c r="R400" s="27" t="s">
        <v>77</v>
      </c>
      <c r="S400" s="27" t="s">
        <v>66</v>
      </c>
    </row>
    <row r="401" spans="1:19" x14ac:dyDescent="0.3">
      <c r="A401" s="44" t="s">
        <v>902</v>
      </c>
      <c r="B401" s="45">
        <v>45295</v>
      </c>
      <c r="C401" s="38" t="s">
        <v>903</v>
      </c>
      <c r="D401" s="38" t="s">
        <v>81</v>
      </c>
      <c r="E401" s="38" t="s">
        <v>40</v>
      </c>
      <c r="F401" s="38" t="s">
        <v>82</v>
      </c>
      <c r="G401" s="38" t="s">
        <v>77</v>
      </c>
      <c r="H401" s="38" t="s">
        <v>66</v>
      </c>
      <c r="I401" s="46">
        <v>18</v>
      </c>
      <c r="J401" s="47">
        <v>220000</v>
      </c>
      <c r="K401" s="47">
        <f t="shared" si="36"/>
        <v>220000</v>
      </c>
      <c r="L401" s="47">
        <f t="shared" si="33"/>
        <v>3960000</v>
      </c>
      <c r="M401" s="38">
        <v>0</v>
      </c>
      <c r="N401" s="47">
        <f t="shared" si="34"/>
        <v>0</v>
      </c>
      <c r="O401" s="47">
        <f t="shared" si="35"/>
        <v>3960000</v>
      </c>
      <c r="P401" s="38" t="s">
        <v>51</v>
      </c>
      <c r="Q401" s="43" t="s">
        <v>82</v>
      </c>
      <c r="R401" s="27" t="s">
        <v>77</v>
      </c>
      <c r="S401" s="27" t="s">
        <v>66</v>
      </c>
    </row>
    <row r="402" spans="1:19" x14ac:dyDescent="0.3">
      <c r="A402" s="48" t="s">
        <v>904</v>
      </c>
      <c r="B402" s="49">
        <v>45385</v>
      </c>
      <c r="C402" s="39" t="s">
        <v>905</v>
      </c>
      <c r="D402" s="39" t="s">
        <v>48</v>
      </c>
      <c r="E402" s="39" t="s">
        <v>56</v>
      </c>
      <c r="F402" s="39" t="s">
        <v>57</v>
      </c>
      <c r="G402" s="39" t="s">
        <v>42</v>
      </c>
      <c r="H402" s="39" t="s">
        <v>66</v>
      </c>
      <c r="I402" s="50">
        <v>4</v>
      </c>
      <c r="J402" s="51">
        <v>28000</v>
      </c>
      <c r="K402" s="51">
        <f t="shared" si="36"/>
        <v>28000</v>
      </c>
      <c r="L402" s="51">
        <f t="shared" si="33"/>
        <v>112000</v>
      </c>
      <c r="M402" s="39">
        <v>0</v>
      </c>
      <c r="N402" s="51">
        <f t="shared" si="34"/>
        <v>0</v>
      </c>
      <c r="O402" s="51">
        <f t="shared" si="35"/>
        <v>112000</v>
      </c>
      <c r="P402" s="39" t="s">
        <v>51</v>
      </c>
      <c r="Q402" s="52" t="s">
        <v>57</v>
      </c>
      <c r="R402" s="27" t="s">
        <v>42</v>
      </c>
      <c r="S402" s="27" t="s">
        <v>66</v>
      </c>
    </row>
    <row r="403" spans="1:19" x14ac:dyDescent="0.3">
      <c r="A403" s="44" t="s">
        <v>906</v>
      </c>
      <c r="B403" s="45">
        <v>45485</v>
      </c>
      <c r="C403" s="38" t="s">
        <v>907</v>
      </c>
      <c r="D403" s="38" t="s">
        <v>65</v>
      </c>
      <c r="E403" s="38" t="s">
        <v>70</v>
      </c>
      <c r="F403" s="38" t="s">
        <v>76</v>
      </c>
      <c r="G403" s="38" t="s">
        <v>77</v>
      </c>
      <c r="H403" s="38" t="s">
        <v>66</v>
      </c>
      <c r="I403" s="46">
        <v>15</v>
      </c>
      <c r="J403" s="47">
        <v>-5000</v>
      </c>
      <c r="K403" s="47">
        <v>180000</v>
      </c>
      <c r="L403" s="47">
        <f t="shared" si="33"/>
        <v>2700000</v>
      </c>
      <c r="M403" s="38">
        <v>0</v>
      </c>
      <c r="N403" s="47">
        <f t="shared" si="34"/>
        <v>0</v>
      </c>
      <c r="O403" s="47">
        <f t="shared" si="35"/>
        <v>2700000</v>
      </c>
      <c r="P403" s="38" t="s">
        <v>51</v>
      </c>
      <c r="Q403" s="43" t="s">
        <v>76</v>
      </c>
      <c r="R403" s="27" t="s">
        <v>77</v>
      </c>
      <c r="S403" s="27" t="s">
        <v>66</v>
      </c>
    </row>
    <row r="404" spans="1:19" x14ac:dyDescent="0.3">
      <c r="A404" s="48" t="s">
        <v>908</v>
      </c>
      <c r="B404" s="49">
        <v>45404</v>
      </c>
      <c r="C404" s="39" t="s">
        <v>909</v>
      </c>
      <c r="D404" s="39" t="s">
        <v>154</v>
      </c>
      <c r="E404" s="39" t="s">
        <v>49</v>
      </c>
      <c r="F404" s="39" t="s">
        <v>92</v>
      </c>
      <c r="G404" s="39" t="s">
        <v>77</v>
      </c>
      <c r="H404" s="39" t="s">
        <v>43</v>
      </c>
      <c r="I404" s="50">
        <v>6</v>
      </c>
      <c r="J404" s="51">
        <v>450000</v>
      </c>
      <c r="K404" s="51">
        <f t="shared" ref="K404:K423" si="37">J404</f>
        <v>450000</v>
      </c>
      <c r="L404" s="51">
        <f t="shared" si="33"/>
        <v>2700000</v>
      </c>
      <c r="M404" s="39">
        <v>0</v>
      </c>
      <c r="N404" s="51">
        <f t="shared" si="34"/>
        <v>0</v>
      </c>
      <c r="O404" s="51">
        <f t="shared" si="35"/>
        <v>2700000</v>
      </c>
      <c r="P404" s="39" t="s">
        <v>44</v>
      </c>
      <c r="Q404" s="52" t="s">
        <v>92</v>
      </c>
      <c r="R404" s="27" t="s">
        <v>77</v>
      </c>
      <c r="S404" s="27" t="s">
        <v>43</v>
      </c>
    </row>
    <row r="405" spans="1:19" x14ac:dyDescent="0.3">
      <c r="A405" s="44" t="s">
        <v>910</v>
      </c>
      <c r="B405" s="45">
        <v>45333</v>
      </c>
      <c r="C405" s="38" t="s">
        <v>911</v>
      </c>
      <c r="D405" s="38" t="s">
        <v>65</v>
      </c>
      <c r="E405" s="38" t="s">
        <v>40</v>
      </c>
      <c r="F405" s="38" t="s">
        <v>50</v>
      </c>
      <c r="G405" s="38" t="s">
        <v>42</v>
      </c>
      <c r="H405" s="38" t="s">
        <v>66</v>
      </c>
      <c r="I405" s="46">
        <v>9</v>
      </c>
      <c r="J405" s="47">
        <v>18000</v>
      </c>
      <c r="K405" s="47">
        <f t="shared" si="37"/>
        <v>18000</v>
      </c>
      <c r="L405" s="47">
        <f t="shared" si="33"/>
        <v>162000</v>
      </c>
      <c r="M405" s="38">
        <v>0</v>
      </c>
      <c r="N405" s="47">
        <f t="shared" si="34"/>
        <v>0</v>
      </c>
      <c r="O405" s="47">
        <f t="shared" si="35"/>
        <v>162000</v>
      </c>
      <c r="P405" s="38" t="s">
        <v>51</v>
      </c>
      <c r="Q405" s="43" t="s">
        <v>50</v>
      </c>
      <c r="R405" s="27" t="s">
        <v>42</v>
      </c>
      <c r="S405" s="27" t="s">
        <v>66</v>
      </c>
    </row>
    <row r="406" spans="1:19" x14ac:dyDescent="0.3">
      <c r="A406" s="48" t="s">
        <v>912</v>
      </c>
      <c r="B406" s="49">
        <v>45619</v>
      </c>
      <c r="C406" s="39" t="s">
        <v>913</v>
      </c>
      <c r="D406" s="39" t="s">
        <v>48</v>
      </c>
      <c r="E406" s="39" t="s">
        <v>49</v>
      </c>
      <c r="F406" s="39" t="s">
        <v>76</v>
      </c>
      <c r="G406" s="39" t="s">
        <v>77</v>
      </c>
      <c r="H406" s="39" t="s">
        <v>66</v>
      </c>
      <c r="I406" s="50">
        <v>12</v>
      </c>
      <c r="J406" s="51">
        <v>180000</v>
      </c>
      <c r="K406" s="51">
        <f t="shared" si="37"/>
        <v>180000</v>
      </c>
      <c r="L406" s="51">
        <f t="shared" si="33"/>
        <v>2160000</v>
      </c>
      <c r="M406" s="39">
        <v>0</v>
      </c>
      <c r="N406" s="51">
        <f t="shared" si="34"/>
        <v>0</v>
      </c>
      <c r="O406" s="51">
        <f t="shared" si="35"/>
        <v>2160000</v>
      </c>
      <c r="P406" s="39" t="s">
        <v>51</v>
      </c>
      <c r="Q406" s="52" t="s">
        <v>76</v>
      </c>
      <c r="R406" s="27" t="s">
        <v>77</v>
      </c>
      <c r="S406" s="27" t="s">
        <v>66</v>
      </c>
    </row>
    <row r="407" spans="1:19" x14ac:dyDescent="0.3">
      <c r="A407" s="44" t="s">
        <v>914</v>
      </c>
      <c r="B407" s="45">
        <v>45547</v>
      </c>
      <c r="C407" s="38" t="s">
        <v>915</v>
      </c>
      <c r="D407" s="38" t="s">
        <v>75</v>
      </c>
      <c r="E407" s="38" t="s">
        <v>40</v>
      </c>
      <c r="F407" s="38" t="s">
        <v>57</v>
      </c>
      <c r="G407" s="38" t="s">
        <v>42</v>
      </c>
      <c r="H407" s="38" t="s">
        <v>66</v>
      </c>
      <c r="I407" s="46">
        <v>16</v>
      </c>
      <c r="J407" s="47">
        <v>28000</v>
      </c>
      <c r="K407" s="47">
        <f t="shared" si="37"/>
        <v>28000</v>
      </c>
      <c r="L407" s="47">
        <f t="shared" si="33"/>
        <v>448000</v>
      </c>
      <c r="M407" s="38">
        <v>10</v>
      </c>
      <c r="N407" s="47">
        <f t="shared" si="34"/>
        <v>44800</v>
      </c>
      <c r="O407" s="47">
        <f t="shared" si="35"/>
        <v>403200</v>
      </c>
      <c r="P407" s="38" t="s">
        <v>86</v>
      </c>
      <c r="Q407" s="43" t="s">
        <v>57</v>
      </c>
      <c r="R407" s="27" t="s">
        <v>42</v>
      </c>
      <c r="S407" s="27" t="s">
        <v>66</v>
      </c>
    </row>
    <row r="408" spans="1:19" x14ac:dyDescent="0.3">
      <c r="A408" s="48" t="s">
        <v>917</v>
      </c>
      <c r="B408" s="49">
        <v>45549</v>
      </c>
      <c r="C408" s="39" t="s">
        <v>918</v>
      </c>
      <c r="D408" s="39" t="s">
        <v>65</v>
      </c>
      <c r="E408" s="39" t="s">
        <v>70</v>
      </c>
      <c r="F408" s="39" t="s">
        <v>92</v>
      </c>
      <c r="G408" s="39" t="s">
        <v>77</v>
      </c>
      <c r="H408" s="39" t="s">
        <v>43</v>
      </c>
      <c r="I408" s="50">
        <v>2</v>
      </c>
      <c r="J408" s="51">
        <v>450000</v>
      </c>
      <c r="K408" s="51">
        <f t="shared" si="37"/>
        <v>450000</v>
      </c>
      <c r="L408" s="51">
        <f t="shared" si="33"/>
        <v>900000</v>
      </c>
      <c r="M408" s="38">
        <v>0</v>
      </c>
      <c r="N408" s="47">
        <f t="shared" si="34"/>
        <v>0</v>
      </c>
      <c r="O408" s="47">
        <f t="shared" si="35"/>
        <v>900000</v>
      </c>
      <c r="P408" s="39" t="s">
        <v>51</v>
      </c>
      <c r="Q408" s="52" t="s">
        <v>92</v>
      </c>
      <c r="R408" s="27" t="s">
        <v>77</v>
      </c>
      <c r="S408" s="27" t="s">
        <v>43</v>
      </c>
    </row>
    <row r="409" spans="1:19" x14ac:dyDescent="0.3">
      <c r="A409" s="44" t="s">
        <v>919</v>
      </c>
      <c r="B409" s="45">
        <v>45333</v>
      </c>
      <c r="C409" s="38" t="s">
        <v>920</v>
      </c>
      <c r="D409" s="38" t="s">
        <v>55</v>
      </c>
      <c r="E409" s="38" t="s">
        <v>56</v>
      </c>
      <c r="F409" s="38" t="s">
        <v>50</v>
      </c>
      <c r="G409" s="38" t="s">
        <v>42</v>
      </c>
      <c r="H409" s="38" t="s">
        <v>66</v>
      </c>
      <c r="I409" s="46">
        <v>6</v>
      </c>
      <c r="J409" s="47">
        <v>18000</v>
      </c>
      <c r="K409" s="47">
        <f t="shared" si="37"/>
        <v>18000</v>
      </c>
      <c r="L409" s="47">
        <f t="shared" si="33"/>
        <v>108000</v>
      </c>
      <c r="M409" s="38">
        <v>0</v>
      </c>
      <c r="N409" s="47">
        <f t="shared" si="34"/>
        <v>0</v>
      </c>
      <c r="O409" s="47">
        <f t="shared" si="35"/>
        <v>108000</v>
      </c>
      <c r="P409" s="38" t="s">
        <v>51</v>
      </c>
      <c r="Q409" s="43" t="s">
        <v>50</v>
      </c>
      <c r="R409" s="27" t="s">
        <v>42</v>
      </c>
      <c r="S409" s="27" t="s">
        <v>66</v>
      </c>
    </row>
    <row r="410" spans="1:19" x14ac:dyDescent="0.3">
      <c r="A410" s="48" t="s">
        <v>921</v>
      </c>
      <c r="B410" s="49">
        <v>45610</v>
      </c>
      <c r="C410" s="39" t="s">
        <v>922</v>
      </c>
      <c r="D410" s="39" t="s">
        <v>81</v>
      </c>
      <c r="E410" s="39" t="s">
        <v>49</v>
      </c>
      <c r="F410" s="39" t="s">
        <v>41</v>
      </c>
      <c r="G410" s="39" t="s">
        <v>42</v>
      </c>
      <c r="H410" s="39" t="s">
        <v>71</v>
      </c>
      <c r="I410" s="50">
        <v>2</v>
      </c>
      <c r="J410" s="51">
        <v>35000</v>
      </c>
      <c r="K410" s="51">
        <f t="shared" si="37"/>
        <v>35000</v>
      </c>
      <c r="L410" s="51">
        <f t="shared" si="33"/>
        <v>70000</v>
      </c>
      <c r="M410" s="39">
        <v>0</v>
      </c>
      <c r="N410" s="51">
        <f t="shared" si="34"/>
        <v>0</v>
      </c>
      <c r="O410" s="51">
        <f t="shared" si="35"/>
        <v>70000</v>
      </c>
      <c r="P410" s="39" t="s">
        <v>131</v>
      </c>
      <c r="Q410" s="52" t="s">
        <v>41</v>
      </c>
      <c r="R410" s="27" t="s">
        <v>42</v>
      </c>
      <c r="S410" s="27" t="s">
        <v>71</v>
      </c>
    </row>
    <row r="411" spans="1:19" x14ac:dyDescent="0.3">
      <c r="A411" s="44" t="s">
        <v>923</v>
      </c>
      <c r="B411" s="45">
        <v>45513</v>
      </c>
      <c r="C411" s="38" t="s">
        <v>924</v>
      </c>
      <c r="D411" s="38" t="s">
        <v>48</v>
      </c>
      <c r="E411" s="38" t="s">
        <v>70</v>
      </c>
      <c r="F411" s="38" t="s">
        <v>50</v>
      </c>
      <c r="G411" s="38" t="s">
        <v>42</v>
      </c>
      <c r="H411" s="38" t="s">
        <v>66</v>
      </c>
      <c r="I411" s="46">
        <v>2</v>
      </c>
      <c r="J411" s="47">
        <v>18000</v>
      </c>
      <c r="K411" s="47">
        <f t="shared" si="37"/>
        <v>18000</v>
      </c>
      <c r="L411" s="47">
        <f t="shared" si="33"/>
        <v>36000</v>
      </c>
      <c r="M411" s="38">
        <v>0</v>
      </c>
      <c r="N411" s="47">
        <f t="shared" si="34"/>
        <v>0</v>
      </c>
      <c r="O411" s="47">
        <f t="shared" si="35"/>
        <v>36000</v>
      </c>
      <c r="P411" s="38" t="s">
        <v>86</v>
      </c>
      <c r="Q411" s="43" t="s">
        <v>50</v>
      </c>
      <c r="R411" s="27" t="s">
        <v>42</v>
      </c>
      <c r="S411" s="27" t="s">
        <v>66</v>
      </c>
    </row>
    <row r="412" spans="1:19" x14ac:dyDescent="0.3">
      <c r="A412" s="48" t="s">
        <v>925</v>
      </c>
      <c r="B412" s="49">
        <v>45599</v>
      </c>
      <c r="C412" s="39" t="s">
        <v>926</v>
      </c>
      <c r="D412" s="39" t="s">
        <v>48</v>
      </c>
      <c r="E412" s="39" t="s">
        <v>56</v>
      </c>
      <c r="F412" s="39" t="s">
        <v>57</v>
      </c>
      <c r="G412" s="39" t="s">
        <v>42</v>
      </c>
      <c r="H412" s="39" t="s">
        <v>43</v>
      </c>
      <c r="I412" s="50">
        <v>8</v>
      </c>
      <c r="J412" s="51">
        <v>28000</v>
      </c>
      <c r="K412" s="51">
        <f t="shared" si="37"/>
        <v>28000</v>
      </c>
      <c r="L412" s="51">
        <f t="shared" si="33"/>
        <v>224000</v>
      </c>
      <c r="M412" s="39">
        <v>0</v>
      </c>
      <c r="N412" s="51">
        <f t="shared" si="34"/>
        <v>0</v>
      </c>
      <c r="O412" s="51">
        <f t="shared" si="35"/>
        <v>224000</v>
      </c>
      <c r="P412" s="39" t="s">
        <v>51</v>
      </c>
      <c r="Q412" s="52" t="s">
        <v>57</v>
      </c>
      <c r="R412" s="27" t="s">
        <v>42</v>
      </c>
      <c r="S412" s="27" t="s">
        <v>43</v>
      </c>
    </row>
    <row r="413" spans="1:19" x14ac:dyDescent="0.3">
      <c r="A413" s="44" t="s">
        <v>927</v>
      </c>
      <c r="B413" s="45">
        <v>45515</v>
      </c>
      <c r="C413" s="38" t="s">
        <v>333</v>
      </c>
      <c r="D413" s="38" t="s">
        <v>75</v>
      </c>
      <c r="E413" s="38" t="s">
        <v>49</v>
      </c>
      <c r="F413" s="38" t="s">
        <v>76</v>
      </c>
      <c r="G413" s="38" t="s">
        <v>77</v>
      </c>
      <c r="H413" s="38" t="s">
        <v>66</v>
      </c>
      <c r="I413" s="46">
        <v>7</v>
      </c>
      <c r="J413" s="47">
        <v>180000</v>
      </c>
      <c r="K413" s="47">
        <f t="shared" si="37"/>
        <v>180000</v>
      </c>
      <c r="L413" s="47">
        <f t="shared" si="33"/>
        <v>1260000</v>
      </c>
      <c r="M413" s="38">
        <v>0</v>
      </c>
      <c r="N413" s="47">
        <f t="shared" si="34"/>
        <v>0</v>
      </c>
      <c r="O413" s="47">
        <f t="shared" si="35"/>
        <v>1260000</v>
      </c>
      <c r="P413" s="38" t="s">
        <v>51</v>
      </c>
      <c r="Q413" s="43" t="s">
        <v>76</v>
      </c>
      <c r="R413" s="27" t="s">
        <v>77</v>
      </c>
      <c r="S413" s="27" t="s">
        <v>66</v>
      </c>
    </row>
    <row r="414" spans="1:19" x14ac:dyDescent="0.3">
      <c r="A414" s="48" t="s">
        <v>928</v>
      </c>
      <c r="B414" s="49">
        <v>45403</v>
      </c>
      <c r="C414" s="39" t="s">
        <v>929</v>
      </c>
      <c r="D414" s="39" t="s">
        <v>141</v>
      </c>
      <c r="E414" s="39" t="s">
        <v>40</v>
      </c>
      <c r="F414" s="39" t="s">
        <v>92</v>
      </c>
      <c r="G414" s="39" t="s">
        <v>77</v>
      </c>
      <c r="H414" s="39" t="s">
        <v>66</v>
      </c>
      <c r="I414" s="50">
        <v>17</v>
      </c>
      <c r="J414" s="51">
        <v>450000</v>
      </c>
      <c r="K414" s="51">
        <f t="shared" si="37"/>
        <v>450000</v>
      </c>
      <c r="L414" s="51">
        <f t="shared" si="33"/>
        <v>7650000</v>
      </c>
      <c r="M414" s="39">
        <v>10</v>
      </c>
      <c r="N414" s="51">
        <f t="shared" si="34"/>
        <v>765000</v>
      </c>
      <c r="O414" s="51">
        <f t="shared" si="35"/>
        <v>6885000</v>
      </c>
      <c r="P414" s="39" t="s">
        <v>131</v>
      </c>
      <c r="Q414" s="52" t="s">
        <v>92</v>
      </c>
      <c r="R414" s="27" t="s">
        <v>77</v>
      </c>
      <c r="S414" s="27" t="s">
        <v>66</v>
      </c>
    </row>
    <row r="415" spans="1:19" x14ac:dyDescent="0.3">
      <c r="A415" s="44" t="s">
        <v>930</v>
      </c>
      <c r="B415" s="45">
        <v>45530</v>
      </c>
      <c r="C415" s="38" t="s">
        <v>931</v>
      </c>
      <c r="D415" s="38" t="s">
        <v>154</v>
      </c>
      <c r="E415" s="38" t="s">
        <v>56</v>
      </c>
      <c r="F415" s="38" t="s">
        <v>57</v>
      </c>
      <c r="G415" s="38" t="s">
        <v>42</v>
      </c>
      <c r="H415" s="38" t="s">
        <v>43</v>
      </c>
      <c r="I415" s="46">
        <v>4</v>
      </c>
      <c r="J415" s="47">
        <v>28000</v>
      </c>
      <c r="K415" s="47">
        <f t="shared" si="37"/>
        <v>28000</v>
      </c>
      <c r="L415" s="47">
        <f t="shared" si="33"/>
        <v>112000</v>
      </c>
      <c r="M415" s="38">
        <v>20</v>
      </c>
      <c r="N415" s="47">
        <f t="shared" si="34"/>
        <v>22400</v>
      </c>
      <c r="O415" s="47">
        <f t="shared" si="35"/>
        <v>89600</v>
      </c>
      <c r="P415" s="38" t="s">
        <v>51</v>
      </c>
      <c r="Q415" s="43" t="s">
        <v>57</v>
      </c>
      <c r="R415" s="27" t="s">
        <v>42</v>
      </c>
      <c r="S415" s="27" t="s">
        <v>43</v>
      </c>
    </row>
    <row r="416" spans="1:19" x14ac:dyDescent="0.3">
      <c r="A416" s="48" t="s">
        <v>932</v>
      </c>
      <c r="B416" s="49">
        <v>45485</v>
      </c>
      <c r="C416" s="39" t="s">
        <v>225</v>
      </c>
      <c r="D416" s="39" t="s">
        <v>55</v>
      </c>
      <c r="E416" s="39" t="s">
        <v>49</v>
      </c>
      <c r="F416" s="39" t="s">
        <v>82</v>
      </c>
      <c r="G416" s="39" t="s">
        <v>77</v>
      </c>
      <c r="H416" s="39" t="s">
        <v>66</v>
      </c>
      <c r="I416" s="50">
        <v>7</v>
      </c>
      <c r="J416" s="51">
        <v>220000</v>
      </c>
      <c r="K416" s="51">
        <f t="shared" si="37"/>
        <v>220000</v>
      </c>
      <c r="L416" s="51">
        <f t="shared" si="33"/>
        <v>1540000</v>
      </c>
      <c r="M416" s="39">
        <v>20</v>
      </c>
      <c r="N416" s="51">
        <f t="shared" si="34"/>
        <v>308000</v>
      </c>
      <c r="O416" s="51">
        <f t="shared" si="35"/>
        <v>1232000</v>
      </c>
      <c r="P416" s="39" t="s">
        <v>51</v>
      </c>
      <c r="Q416" s="52" t="s">
        <v>82</v>
      </c>
      <c r="R416" s="27" t="s">
        <v>77</v>
      </c>
      <c r="S416" s="27" t="s">
        <v>66</v>
      </c>
    </row>
    <row r="417" spans="1:19" x14ac:dyDescent="0.3">
      <c r="A417" s="44" t="s">
        <v>933</v>
      </c>
      <c r="B417" s="45">
        <v>45631</v>
      </c>
      <c r="C417" s="38" t="s">
        <v>934</v>
      </c>
      <c r="D417" s="38" t="s">
        <v>75</v>
      </c>
      <c r="E417" s="38" t="s">
        <v>70</v>
      </c>
      <c r="F417" s="38" t="s">
        <v>99</v>
      </c>
      <c r="G417" s="38" t="s">
        <v>77</v>
      </c>
      <c r="H417" s="38" t="s">
        <v>71</v>
      </c>
      <c r="I417" s="46">
        <v>8</v>
      </c>
      <c r="J417" s="47">
        <v>95000</v>
      </c>
      <c r="K417" s="47">
        <f t="shared" si="37"/>
        <v>95000</v>
      </c>
      <c r="L417" s="47">
        <f t="shared" si="33"/>
        <v>760000</v>
      </c>
      <c r="M417" s="38">
        <v>0</v>
      </c>
      <c r="N417" s="47">
        <f t="shared" si="34"/>
        <v>0</v>
      </c>
      <c r="O417" s="47">
        <f t="shared" si="35"/>
        <v>760000</v>
      </c>
      <c r="P417" s="38" t="s">
        <v>51</v>
      </c>
      <c r="Q417" s="43" t="s">
        <v>99</v>
      </c>
      <c r="R417" s="27" t="s">
        <v>77</v>
      </c>
      <c r="S417" s="27" t="s">
        <v>71</v>
      </c>
    </row>
    <row r="418" spans="1:19" x14ac:dyDescent="0.3">
      <c r="A418" s="44" t="s">
        <v>935</v>
      </c>
      <c r="B418" s="45">
        <v>45601</v>
      </c>
      <c r="C418" s="38" t="s">
        <v>936</v>
      </c>
      <c r="D418" s="38" t="s">
        <v>55</v>
      </c>
      <c r="E418" s="38" t="s">
        <v>40</v>
      </c>
      <c r="F418" s="38" t="s">
        <v>57</v>
      </c>
      <c r="G418" s="38" t="s">
        <v>42</v>
      </c>
      <c r="H418" s="38" t="s">
        <v>71</v>
      </c>
      <c r="I418" s="46">
        <v>13</v>
      </c>
      <c r="J418" s="47">
        <v>28000</v>
      </c>
      <c r="K418" s="47">
        <f t="shared" si="37"/>
        <v>28000</v>
      </c>
      <c r="L418" s="47">
        <f t="shared" si="33"/>
        <v>364000</v>
      </c>
      <c r="M418" s="38">
        <v>15</v>
      </c>
      <c r="N418" s="47">
        <f t="shared" si="34"/>
        <v>54600</v>
      </c>
      <c r="O418" s="47">
        <f t="shared" si="35"/>
        <v>309400</v>
      </c>
      <c r="P418" s="38" t="s">
        <v>51</v>
      </c>
      <c r="Q418" s="43" t="s">
        <v>57</v>
      </c>
      <c r="R418" s="27" t="s">
        <v>42</v>
      </c>
      <c r="S418" s="27" t="s">
        <v>71</v>
      </c>
    </row>
    <row r="419" spans="1:19" x14ac:dyDescent="0.3">
      <c r="A419" s="44" t="s">
        <v>937</v>
      </c>
      <c r="B419" s="45">
        <v>45617</v>
      </c>
      <c r="C419" s="38" t="s">
        <v>938</v>
      </c>
      <c r="D419" s="38" t="s">
        <v>118</v>
      </c>
      <c r="E419" s="38" t="s">
        <v>40</v>
      </c>
      <c r="F419" s="38" t="s">
        <v>82</v>
      </c>
      <c r="G419" s="38" t="s">
        <v>77</v>
      </c>
      <c r="H419" s="38" t="s">
        <v>71</v>
      </c>
      <c r="I419" s="46">
        <v>7</v>
      </c>
      <c r="J419" s="47">
        <v>220000</v>
      </c>
      <c r="K419" s="47">
        <f t="shared" si="37"/>
        <v>220000</v>
      </c>
      <c r="L419" s="47">
        <f t="shared" si="33"/>
        <v>1540000</v>
      </c>
      <c r="M419" s="38">
        <v>15</v>
      </c>
      <c r="N419" s="47">
        <f t="shared" si="34"/>
        <v>231000</v>
      </c>
      <c r="O419" s="47">
        <f t="shared" si="35"/>
        <v>1309000</v>
      </c>
      <c r="P419" s="38" t="s">
        <v>51</v>
      </c>
      <c r="Q419" s="43" t="s">
        <v>82</v>
      </c>
      <c r="R419" s="27" t="s">
        <v>77</v>
      </c>
      <c r="S419" s="27" t="s">
        <v>71</v>
      </c>
    </row>
    <row r="420" spans="1:19" x14ac:dyDescent="0.3">
      <c r="A420" s="48" t="s">
        <v>939</v>
      </c>
      <c r="B420" s="49">
        <v>45469</v>
      </c>
      <c r="C420" s="39" t="s">
        <v>940</v>
      </c>
      <c r="D420" s="39" t="s">
        <v>118</v>
      </c>
      <c r="E420" s="39" t="s">
        <v>49</v>
      </c>
      <c r="F420" s="39" t="s">
        <v>57</v>
      </c>
      <c r="G420" s="39" t="s">
        <v>42</v>
      </c>
      <c r="H420" s="39" t="s">
        <v>71</v>
      </c>
      <c r="I420" s="50">
        <v>5</v>
      </c>
      <c r="J420" s="51">
        <v>28000</v>
      </c>
      <c r="K420" s="51">
        <f t="shared" si="37"/>
        <v>28000</v>
      </c>
      <c r="L420" s="51">
        <f t="shared" si="33"/>
        <v>140000</v>
      </c>
      <c r="M420" s="39">
        <v>15</v>
      </c>
      <c r="N420" s="51">
        <f t="shared" si="34"/>
        <v>21000</v>
      </c>
      <c r="O420" s="51">
        <f t="shared" si="35"/>
        <v>119000</v>
      </c>
      <c r="P420" s="39" t="s">
        <v>51</v>
      </c>
      <c r="Q420" s="52" t="s">
        <v>57</v>
      </c>
      <c r="R420" s="27" t="s">
        <v>42</v>
      </c>
      <c r="S420" s="27" t="s">
        <v>71</v>
      </c>
    </row>
    <row r="421" spans="1:19" x14ac:dyDescent="0.3">
      <c r="A421" s="44" t="s">
        <v>941</v>
      </c>
      <c r="B421" s="45">
        <v>45543</v>
      </c>
      <c r="C421" s="38" t="s">
        <v>420</v>
      </c>
      <c r="D421" s="38" t="s">
        <v>55</v>
      </c>
      <c r="E421" s="38" t="s">
        <v>40</v>
      </c>
      <c r="F421" s="38" t="s">
        <v>99</v>
      </c>
      <c r="G421" s="38" t="s">
        <v>77</v>
      </c>
      <c r="H421" s="38" t="s">
        <v>71</v>
      </c>
      <c r="I421" s="46">
        <v>4</v>
      </c>
      <c r="J421" s="47">
        <v>95000</v>
      </c>
      <c r="K421" s="47">
        <f t="shared" si="37"/>
        <v>95000</v>
      </c>
      <c r="L421" s="47">
        <f t="shared" si="33"/>
        <v>380000</v>
      </c>
      <c r="M421" s="38">
        <v>0</v>
      </c>
      <c r="N421" s="47">
        <f t="shared" si="34"/>
        <v>0</v>
      </c>
      <c r="O421" s="47">
        <f t="shared" si="35"/>
        <v>380000</v>
      </c>
      <c r="P421" s="38" t="s">
        <v>131</v>
      </c>
      <c r="Q421" s="43" t="s">
        <v>99</v>
      </c>
      <c r="R421" s="27" t="s">
        <v>77</v>
      </c>
      <c r="S421" s="27" t="s">
        <v>71</v>
      </c>
    </row>
    <row r="422" spans="1:19" x14ac:dyDescent="0.3">
      <c r="A422" s="48" t="s">
        <v>942</v>
      </c>
      <c r="B422" s="49">
        <v>45543</v>
      </c>
      <c r="C422" s="39" t="s">
        <v>943</v>
      </c>
      <c r="D422" s="39" t="s">
        <v>154</v>
      </c>
      <c r="E422" s="39" t="s">
        <v>40</v>
      </c>
      <c r="F422" s="39" t="s">
        <v>82</v>
      </c>
      <c r="G422" s="39" t="s">
        <v>77</v>
      </c>
      <c r="H422" s="39" t="s">
        <v>66</v>
      </c>
      <c r="I422" s="50">
        <v>9</v>
      </c>
      <c r="J422" s="51">
        <v>220000</v>
      </c>
      <c r="K422" s="51">
        <f t="shared" si="37"/>
        <v>220000</v>
      </c>
      <c r="L422" s="51">
        <f t="shared" si="33"/>
        <v>1980000</v>
      </c>
      <c r="M422" s="39">
        <v>0</v>
      </c>
      <c r="N422" s="51">
        <f t="shared" si="34"/>
        <v>0</v>
      </c>
      <c r="O422" s="51">
        <f t="shared" si="35"/>
        <v>1980000</v>
      </c>
      <c r="P422" s="39" t="s">
        <v>86</v>
      </c>
      <c r="Q422" s="52" t="s">
        <v>82</v>
      </c>
      <c r="R422" s="27" t="s">
        <v>77</v>
      </c>
      <c r="S422" s="27" t="s">
        <v>66</v>
      </c>
    </row>
    <row r="423" spans="1:19" x14ac:dyDescent="0.3">
      <c r="A423" s="44" t="s">
        <v>944</v>
      </c>
      <c r="B423" s="45">
        <v>45619</v>
      </c>
      <c r="C423" s="38" t="s">
        <v>945</v>
      </c>
      <c r="D423" s="38" t="s">
        <v>75</v>
      </c>
      <c r="E423" s="38" t="s">
        <v>70</v>
      </c>
      <c r="F423" s="38" t="s">
        <v>92</v>
      </c>
      <c r="G423" s="38" t="s">
        <v>77</v>
      </c>
      <c r="H423" s="38" t="s">
        <v>71</v>
      </c>
      <c r="I423" s="46">
        <v>4</v>
      </c>
      <c r="J423" s="47">
        <v>450000</v>
      </c>
      <c r="K423" s="47">
        <f t="shared" si="37"/>
        <v>450000</v>
      </c>
      <c r="L423" s="47">
        <f t="shared" si="33"/>
        <v>1800000</v>
      </c>
      <c r="M423" s="38">
        <v>20</v>
      </c>
      <c r="N423" s="47">
        <f t="shared" si="34"/>
        <v>360000</v>
      </c>
      <c r="O423" s="47">
        <f t="shared" si="35"/>
        <v>1440000</v>
      </c>
      <c r="P423" s="38" t="s">
        <v>51</v>
      </c>
      <c r="Q423" s="43" t="s">
        <v>92</v>
      </c>
      <c r="R423" s="27" t="s">
        <v>77</v>
      </c>
      <c r="S423" s="27" t="s">
        <v>71</v>
      </c>
    </row>
    <row r="424" spans="1:19" x14ac:dyDescent="0.3">
      <c r="A424" s="48" t="s">
        <v>946</v>
      </c>
      <c r="B424" s="49">
        <v>45478</v>
      </c>
      <c r="C424" s="39" t="s">
        <v>947</v>
      </c>
      <c r="D424" s="39" t="s">
        <v>39</v>
      </c>
      <c r="E424" s="39" t="s">
        <v>49</v>
      </c>
      <c r="F424" s="39" t="s">
        <v>50</v>
      </c>
      <c r="G424" s="39" t="s">
        <v>42</v>
      </c>
      <c r="H424" s="39" t="s">
        <v>71</v>
      </c>
      <c r="I424" s="50">
        <v>6</v>
      </c>
      <c r="J424" s="51">
        <v>18000</v>
      </c>
      <c r="K424" s="51">
        <f t="shared" ref="K424:K428" si="38">J424</f>
        <v>18000</v>
      </c>
      <c r="L424" s="51">
        <f t="shared" si="33"/>
        <v>108000</v>
      </c>
      <c r="M424" s="39">
        <v>0</v>
      </c>
      <c r="N424" s="51">
        <f t="shared" si="34"/>
        <v>0</v>
      </c>
      <c r="O424" s="51">
        <f t="shared" si="35"/>
        <v>108000</v>
      </c>
      <c r="P424" s="39" t="s">
        <v>51</v>
      </c>
      <c r="Q424" s="52" t="s">
        <v>50</v>
      </c>
      <c r="R424" s="27" t="s">
        <v>42</v>
      </c>
      <c r="S424" s="27" t="s">
        <v>71</v>
      </c>
    </row>
    <row r="425" spans="1:19" x14ac:dyDescent="0.3">
      <c r="A425" s="44" t="s">
        <v>948</v>
      </c>
      <c r="B425" s="45">
        <v>45293</v>
      </c>
      <c r="C425" s="38" t="s">
        <v>949</v>
      </c>
      <c r="D425" s="38" t="s">
        <v>118</v>
      </c>
      <c r="E425" s="38" t="s">
        <v>49</v>
      </c>
      <c r="F425" s="38" t="s">
        <v>99</v>
      </c>
      <c r="G425" s="38" t="s">
        <v>77</v>
      </c>
      <c r="H425" s="38" t="s">
        <v>66</v>
      </c>
      <c r="I425" s="46">
        <v>11</v>
      </c>
      <c r="J425" s="47">
        <v>95000</v>
      </c>
      <c r="K425" s="47">
        <f t="shared" si="38"/>
        <v>95000</v>
      </c>
      <c r="L425" s="47">
        <f t="shared" si="33"/>
        <v>1045000</v>
      </c>
      <c r="M425" s="38">
        <v>15</v>
      </c>
      <c r="N425" s="47">
        <f t="shared" si="34"/>
        <v>156750</v>
      </c>
      <c r="O425" s="47">
        <f t="shared" si="35"/>
        <v>888250</v>
      </c>
      <c r="P425" s="38" t="s">
        <v>51</v>
      </c>
      <c r="Q425" s="43" t="s">
        <v>99</v>
      </c>
      <c r="R425" s="27" t="s">
        <v>77</v>
      </c>
      <c r="S425" s="27" t="s">
        <v>66</v>
      </c>
    </row>
    <row r="426" spans="1:19" x14ac:dyDescent="0.3">
      <c r="A426" s="48" t="s">
        <v>950</v>
      </c>
      <c r="B426" s="49">
        <v>45630</v>
      </c>
      <c r="C426" s="39" t="s">
        <v>951</v>
      </c>
      <c r="D426" s="39" t="s">
        <v>981</v>
      </c>
      <c r="E426" s="39" t="s">
        <v>70</v>
      </c>
      <c r="F426" s="39" t="s">
        <v>76</v>
      </c>
      <c r="G426" s="39" t="s">
        <v>77</v>
      </c>
      <c r="H426" s="39" t="s">
        <v>43</v>
      </c>
      <c r="I426" s="50">
        <v>19</v>
      </c>
      <c r="J426" s="51">
        <v>180000</v>
      </c>
      <c r="K426" s="51">
        <f t="shared" si="38"/>
        <v>180000</v>
      </c>
      <c r="L426" s="51">
        <f t="shared" si="33"/>
        <v>3420000</v>
      </c>
      <c r="M426" s="39">
        <v>15</v>
      </c>
      <c r="N426" s="51">
        <f t="shared" si="34"/>
        <v>513000</v>
      </c>
      <c r="O426" s="51">
        <f t="shared" si="35"/>
        <v>2907000</v>
      </c>
      <c r="P426" s="39" t="s">
        <v>51</v>
      </c>
      <c r="Q426" s="52" t="s">
        <v>76</v>
      </c>
      <c r="R426" s="27" t="s">
        <v>77</v>
      </c>
      <c r="S426" s="27" t="s">
        <v>43</v>
      </c>
    </row>
    <row r="427" spans="1:19" x14ac:dyDescent="0.3">
      <c r="A427" s="44" t="s">
        <v>952</v>
      </c>
      <c r="B427" s="45">
        <v>45639</v>
      </c>
      <c r="C427" s="38" t="s">
        <v>953</v>
      </c>
      <c r="D427" s="38" t="s">
        <v>65</v>
      </c>
      <c r="E427" s="38" t="s">
        <v>49</v>
      </c>
      <c r="F427" s="38" t="s">
        <v>57</v>
      </c>
      <c r="G427" s="38" t="s">
        <v>42</v>
      </c>
      <c r="H427" s="38" t="s">
        <v>71</v>
      </c>
      <c r="I427" s="46">
        <v>11</v>
      </c>
      <c r="J427" s="47">
        <v>28000</v>
      </c>
      <c r="K427" s="47">
        <f t="shared" si="38"/>
        <v>28000</v>
      </c>
      <c r="L427" s="47">
        <f t="shared" si="33"/>
        <v>308000</v>
      </c>
      <c r="M427" s="38">
        <v>10</v>
      </c>
      <c r="N427" s="47">
        <f t="shared" si="34"/>
        <v>30800</v>
      </c>
      <c r="O427" s="47">
        <f t="shared" si="35"/>
        <v>277200</v>
      </c>
      <c r="P427" s="38" t="s">
        <v>131</v>
      </c>
      <c r="Q427" s="43" t="s">
        <v>57</v>
      </c>
      <c r="R427" s="27" t="s">
        <v>42</v>
      </c>
      <c r="S427" s="27" t="s">
        <v>71</v>
      </c>
    </row>
    <row r="428" spans="1:19" x14ac:dyDescent="0.3">
      <c r="A428" s="48" t="s">
        <v>954</v>
      </c>
      <c r="B428" s="49">
        <v>45453</v>
      </c>
      <c r="C428" s="39" t="s">
        <v>955</v>
      </c>
      <c r="D428" s="39" t="s">
        <v>118</v>
      </c>
      <c r="E428" s="39" t="s">
        <v>40</v>
      </c>
      <c r="F428" s="39" t="s">
        <v>41</v>
      </c>
      <c r="G428" s="39" t="s">
        <v>42</v>
      </c>
      <c r="H428" s="39" t="s">
        <v>66</v>
      </c>
      <c r="I428" s="50">
        <v>3</v>
      </c>
      <c r="J428" s="51">
        <v>35000</v>
      </c>
      <c r="K428" s="51">
        <f t="shared" si="38"/>
        <v>35000</v>
      </c>
      <c r="L428" s="51">
        <f t="shared" si="33"/>
        <v>105000</v>
      </c>
      <c r="M428" s="39">
        <v>0</v>
      </c>
      <c r="N428" s="51">
        <f t="shared" si="34"/>
        <v>0</v>
      </c>
      <c r="O428" s="51">
        <f t="shared" si="35"/>
        <v>105000</v>
      </c>
      <c r="P428" s="39" t="s">
        <v>86</v>
      </c>
      <c r="Q428" s="52" t="s">
        <v>41</v>
      </c>
      <c r="R428" s="27" t="s">
        <v>42</v>
      </c>
      <c r="S428" s="27" t="s">
        <v>66</v>
      </c>
    </row>
  </sheetData>
  <phoneticPr fontId="9" type="noConversion"/>
  <conditionalFormatting sqref="J2:J428">
    <cfRule type="cellIs" dxfId="332" priority="1" operator="greaterThan">
      <formula>600000</formula>
    </cfRule>
    <cfRule type="cellIs" dxfId="331" priority="2" operator="lessThan">
      <formula>1000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FBBA4-41E7-4F36-B9AC-C99842B2E5DF}">
  <dimension ref="A1:N52"/>
  <sheetViews>
    <sheetView topLeftCell="E1" zoomScale="134" workbookViewId="0">
      <selection activeCell="N2" sqref="N2"/>
    </sheetView>
  </sheetViews>
  <sheetFormatPr defaultRowHeight="14.4" x14ac:dyDescent="0.3"/>
  <cols>
    <col min="1" max="1" width="12.88671875" bestFit="1" customWidth="1"/>
    <col min="2" max="2" width="13.88671875" bestFit="1" customWidth="1"/>
    <col min="3" max="3" width="12.88671875" bestFit="1" customWidth="1"/>
    <col min="4" max="4" width="15" style="35" bestFit="1" customWidth="1"/>
    <col min="5" max="5" width="14.6640625" bestFit="1" customWidth="1"/>
    <col min="6" max="6" width="11.109375" bestFit="1" customWidth="1"/>
    <col min="7" max="7" width="14" style="35" bestFit="1" customWidth="1"/>
    <col min="8" max="8" width="24.77734375" style="35" bestFit="1" customWidth="1"/>
    <col min="9" max="9" width="14.88671875" style="35" bestFit="1" customWidth="1"/>
    <col min="10" max="10" width="17.6640625" style="35" bestFit="1" customWidth="1"/>
    <col min="11" max="11" width="22.44140625" bestFit="1" customWidth="1"/>
    <col min="12" max="12" width="22.44140625" customWidth="1"/>
    <col min="13" max="13" width="26.33203125" bestFit="1" customWidth="1"/>
    <col min="14" max="14" width="10.88671875" bestFit="1" customWidth="1"/>
  </cols>
  <sheetData>
    <row r="1" spans="1:14" x14ac:dyDescent="0.3">
      <c r="A1" s="53" t="s">
        <v>24</v>
      </c>
      <c r="B1" s="54" t="s">
        <v>29</v>
      </c>
      <c r="C1" s="54" t="s">
        <v>32</v>
      </c>
      <c r="D1" s="55" t="s">
        <v>33</v>
      </c>
      <c r="E1" s="54" t="s">
        <v>34</v>
      </c>
      <c r="F1" s="54" t="s">
        <v>35</v>
      </c>
      <c r="G1" s="55" t="s">
        <v>974</v>
      </c>
      <c r="H1" s="55" t="s">
        <v>975</v>
      </c>
      <c r="I1" s="55" t="s">
        <v>976</v>
      </c>
      <c r="J1" s="55" t="s">
        <v>977</v>
      </c>
      <c r="K1" s="54" t="s">
        <v>978</v>
      </c>
      <c r="L1" s="56" t="s">
        <v>1020</v>
      </c>
      <c r="M1" s="56" t="s">
        <v>979</v>
      </c>
      <c r="N1" s="54" t="s">
        <v>959</v>
      </c>
    </row>
    <row r="2" spans="1:14" x14ac:dyDescent="0.3">
      <c r="A2" s="57" t="s">
        <v>37</v>
      </c>
      <c r="B2" s="58" t="s">
        <v>41</v>
      </c>
      <c r="C2" s="58">
        <v>7</v>
      </c>
      <c r="D2" s="59">
        <v>35000</v>
      </c>
      <c r="E2" s="58">
        <v>10</v>
      </c>
      <c r="F2" s="58" t="s">
        <v>44</v>
      </c>
      <c r="G2" s="59">
        <f t="shared" ref="G2:G33" si="0">C2*D2</f>
        <v>245000</v>
      </c>
      <c r="H2" s="59">
        <f t="shared" ref="H2:H33" si="1">G2*(1-E2/100)</f>
        <v>220500</v>
      </c>
      <c r="I2" s="59">
        <f t="shared" ref="I2:I33" si="2">H2*0.075</f>
        <v>16537.5</v>
      </c>
      <c r="J2" s="59">
        <f t="shared" ref="J2:J33" si="3">H2+I2</f>
        <v>237037.5</v>
      </c>
      <c r="K2" s="58" t="str">
        <f>IFERROR(_xlfn.XLOOKUP(B:B,LOOKUP_TABLES!A:A,LOOKUP_TABLES!B:B),"Not Found")</f>
        <v>Accessories</v>
      </c>
      <c r="L2" s="60" t="str">
        <f>IFERROR(_xlfn.XLOOKUP(M:M,LOOKUP_TABLES!E:E,LOOKUP_TABLES!D:D),"Not Found")</f>
        <v>SoundWave Co</v>
      </c>
      <c r="M2" s="60">
        <f>IFERROR(INDEX(LOOKUP_TABLES!E:E,MATCH(B2,LOOKUP_TABLES!A:A,0)),"Not Found")</f>
        <v>6</v>
      </c>
      <c r="N2" s="61" t="str">
        <f>_xlfn.XLOOKUP(B:B,LOOKUP_TABLES!A:A,LOOKUP_TABLES!F:F)</f>
        <v>SKU-1003</v>
      </c>
    </row>
    <row r="3" spans="1:14" x14ac:dyDescent="0.3">
      <c r="A3" s="62" t="s">
        <v>46</v>
      </c>
      <c r="B3" s="63" t="s">
        <v>50</v>
      </c>
      <c r="C3" s="63">
        <v>4</v>
      </c>
      <c r="D3" s="64">
        <v>18000</v>
      </c>
      <c r="E3" s="63">
        <v>0</v>
      </c>
      <c r="F3" s="63" t="s">
        <v>51</v>
      </c>
      <c r="G3" s="64">
        <f t="shared" si="0"/>
        <v>72000</v>
      </c>
      <c r="H3" s="64">
        <f t="shared" si="1"/>
        <v>72000</v>
      </c>
      <c r="I3" s="64">
        <f t="shared" si="2"/>
        <v>5400</v>
      </c>
      <c r="J3" s="64">
        <f t="shared" si="3"/>
        <v>77400</v>
      </c>
      <c r="K3" s="63" t="str">
        <f>IFERROR(_xlfn.XLOOKUP(B:B,LOOKUP_TABLES!A:A,LOOKUP_TABLES!B:B),"Not Found")</f>
        <v>Accessories</v>
      </c>
      <c r="L3" s="65" t="str">
        <f>IFERROR(_xlfn.XLOOKUP(M:M,LOOKUP_TABLES!E:E,LOOKUP_TABLES!D:D),"Not Found")</f>
        <v>MobileMaster NG</v>
      </c>
      <c r="M3" s="65">
        <f>IFERROR(INDEX(LOOKUP_TABLES!E:E,MATCH(B3,LOOKUP_TABLES!A:A,0)),"Not Found")</f>
        <v>12</v>
      </c>
      <c r="N3" s="61" t="str">
        <f>_xlfn.XLOOKUP(B:B,LOOKUP_TABLES!A:A,LOOKUP_TABLES!F:F)</f>
        <v>SKU-1006</v>
      </c>
    </row>
    <row r="4" spans="1:14" x14ac:dyDescent="0.3">
      <c r="A4" s="57" t="s">
        <v>53</v>
      </c>
      <c r="B4" s="58" t="s">
        <v>57</v>
      </c>
      <c r="C4" s="58">
        <v>2</v>
      </c>
      <c r="D4" s="59">
        <v>28000</v>
      </c>
      <c r="E4" s="58">
        <v>15</v>
      </c>
      <c r="F4" s="58" t="s">
        <v>44</v>
      </c>
      <c r="G4" s="59">
        <f t="shared" si="0"/>
        <v>56000</v>
      </c>
      <c r="H4" s="59">
        <f t="shared" si="1"/>
        <v>47600</v>
      </c>
      <c r="I4" s="59">
        <f t="shared" si="2"/>
        <v>3570</v>
      </c>
      <c r="J4" s="59">
        <f t="shared" si="3"/>
        <v>51170</v>
      </c>
      <c r="K4" s="58" t="str">
        <f>IFERROR(_xlfn.XLOOKUP(B:B,LOOKUP_TABLES!A:A,LOOKUP_TABLES!B:B),"Not Found")</f>
        <v>Accessories</v>
      </c>
      <c r="L4" s="60" t="str">
        <f>IFERROR(_xlfn.XLOOKUP(M:M,LOOKUP_TABLES!E:E,LOOKUP_TABLES!D:D),"Not Found")</f>
        <v>MobileMaster NG</v>
      </c>
      <c r="M4" s="60">
        <f>IFERROR(INDEX(LOOKUP_TABLES!E:E,MATCH(B4,LOOKUP_TABLES!A:A,0)),"Not Found")</f>
        <v>12</v>
      </c>
      <c r="N4" s="61" t="str">
        <f>_xlfn.XLOOKUP(B:B,LOOKUP_TABLES!A:A,LOOKUP_TABLES!F:F)</f>
        <v>SKU-1005</v>
      </c>
    </row>
    <row r="5" spans="1:14" x14ac:dyDescent="0.3">
      <c r="A5" s="62" t="s">
        <v>59</v>
      </c>
      <c r="B5" s="63" t="s">
        <v>61</v>
      </c>
      <c r="C5" s="63">
        <v>1</v>
      </c>
      <c r="D5" s="64">
        <v>22000</v>
      </c>
      <c r="E5" s="63">
        <v>0</v>
      </c>
      <c r="F5" s="63" t="s">
        <v>51</v>
      </c>
      <c r="G5" s="64">
        <f t="shared" si="0"/>
        <v>22000</v>
      </c>
      <c r="H5" s="64">
        <f t="shared" si="1"/>
        <v>22000</v>
      </c>
      <c r="I5" s="64">
        <f t="shared" si="2"/>
        <v>1650</v>
      </c>
      <c r="J5" s="64">
        <f t="shared" si="3"/>
        <v>23650</v>
      </c>
      <c r="K5" s="63" t="str">
        <f>IFERROR(_xlfn.XLOOKUP(B:B,LOOKUP_TABLES!A:A,LOOKUP_TABLES!B:B),"Not Found")</f>
        <v>Accessories</v>
      </c>
      <c r="L5" s="65" t="str">
        <f>IFERROR(_xlfn.XLOOKUP(M:M,LOOKUP_TABLES!E:E,LOOKUP_TABLES!D:D),"Not Found")</f>
        <v>MobileMaster NG</v>
      </c>
      <c r="M5" s="65">
        <f>IFERROR(INDEX(LOOKUP_TABLES!E:E,MATCH(B5,LOOKUP_TABLES!A:A,0)),"Not Found")</f>
        <v>12</v>
      </c>
      <c r="N5" s="61" t="str">
        <f>_xlfn.XLOOKUP(B:B,LOOKUP_TABLES!A:A,LOOKUP_TABLES!F:F)</f>
        <v>SKU-1007</v>
      </c>
    </row>
    <row r="6" spans="1:14" x14ac:dyDescent="0.3">
      <c r="A6" s="57" t="s">
        <v>63</v>
      </c>
      <c r="B6" s="58" t="s">
        <v>57</v>
      </c>
      <c r="C6" s="58">
        <v>6</v>
      </c>
      <c r="D6" s="59">
        <v>28000</v>
      </c>
      <c r="E6" s="58">
        <v>0</v>
      </c>
      <c r="F6" s="58" t="s">
        <v>51</v>
      </c>
      <c r="G6" s="59">
        <f t="shared" si="0"/>
        <v>168000</v>
      </c>
      <c r="H6" s="59">
        <f t="shared" si="1"/>
        <v>168000</v>
      </c>
      <c r="I6" s="59">
        <f t="shared" si="2"/>
        <v>12600</v>
      </c>
      <c r="J6" s="59">
        <f t="shared" si="3"/>
        <v>180600</v>
      </c>
      <c r="K6" s="58" t="str">
        <f>IFERROR(_xlfn.XLOOKUP(B:B,LOOKUP_TABLES!A:A,LOOKUP_TABLES!B:B),"Not Found")</f>
        <v>Accessories</v>
      </c>
      <c r="L6" s="60" t="str">
        <f>IFERROR(_xlfn.XLOOKUP(M:M,LOOKUP_TABLES!E:E,LOOKUP_TABLES!D:D),"Not Found")</f>
        <v>MobileMaster NG</v>
      </c>
      <c r="M6" s="60">
        <f>IFERROR(INDEX(LOOKUP_TABLES!E:E,MATCH(B6,LOOKUP_TABLES!A:A,0)),"Not Found")</f>
        <v>12</v>
      </c>
      <c r="N6" s="61" t="str">
        <f>_xlfn.XLOOKUP(B:B,LOOKUP_TABLES!A:A,LOOKUP_TABLES!F:F)</f>
        <v>SKU-1005</v>
      </c>
    </row>
    <row r="7" spans="1:14" x14ac:dyDescent="0.3">
      <c r="A7" s="62" t="s">
        <v>68</v>
      </c>
      <c r="B7" s="63" t="s">
        <v>50</v>
      </c>
      <c r="C7" s="63">
        <v>4</v>
      </c>
      <c r="D7" s="64">
        <v>18000</v>
      </c>
      <c r="E7" s="63">
        <v>20</v>
      </c>
      <c r="F7" s="63" t="s">
        <v>51</v>
      </c>
      <c r="G7" s="64">
        <f t="shared" si="0"/>
        <v>72000</v>
      </c>
      <c r="H7" s="64">
        <f t="shared" si="1"/>
        <v>57600</v>
      </c>
      <c r="I7" s="64">
        <f t="shared" si="2"/>
        <v>4320</v>
      </c>
      <c r="J7" s="64">
        <f t="shared" si="3"/>
        <v>61920</v>
      </c>
      <c r="K7" s="63" t="str">
        <f>IFERROR(_xlfn.XLOOKUP(B:B,LOOKUP_TABLES!A:A,LOOKUP_TABLES!B:B),"Not Found")</f>
        <v>Accessories</v>
      </c>
      <c r="L7" s="65" t="str">
        <f>IFERROR(_xlfn.XLOOKUP(M:M,LOOKUP_TABLES!E:E,LOOKUP_TABLES!D:D),"Not Found")</f>
        <v>MobileMaster NG</v>
      </c>
      <c r="M7" s="65">
        <f>IFERROR(INDEX(LOOKUP_TABLES!E:E,MATCH(B7,LOOKUP_TABLES!A:A,0)),"Not Found")</f>
        <v>12</v>
      </c>
      <c r="N7" s="61" t="str">
        <f>_xlfn.XLOOKUP(B:B,LOOKUP_TABLES!A:A,LOOKUP_TABLES!F:F)</f>
        <v>SKU-1006</v>
      </c>
    </row>
    <row r="8" spans="1:14" x14ac:dyDescent="0.3">
      <c r="A8" s="57" t="s">
        <v>73</v>
      </c>
      <c r="B8" s="58" t="s">
        <v>76</v>
      </c>
      <c r="C8" s="58">
        <v>11</v>
      </c>
      <c r="D8" s="59">
        <v>180000</v>
      </c>
      <c r="E8" s="58">
        <v>10</v>
      </c>
      <c r="F8" s="58" t="s">
        <v>51</v>
      </c>
      <c r="G8" s="59">
        <f t="shared" si="0"/>
        <v>1980000</v>
      </c>
      <c r="H8" s="59">
        <f t="shared" si="1"/>
        <v>1782000</v>
      </c>
      <c r="I8" s="59">
        <f t="shared" si="2"/>
        <v>133650</v>
      </c>
      <c r="J8" s="59">
        <f t="shared" si="3"/>
        <v>1915650</v>
      </c>
      <c r="K8" s="58" t="str">
        <f>IFERROR(_xlfn.XLOOKUP(B:B,LOOKUP_TABLES!A:A,LOOKUP_TABLES!B:B),"Not Found")</f>
        <v>Electronics</v>
      </c>
      <c r="L8" s="60" t="str">
        <f>IFERROR(_xlfn.XLOOKUP(M:M,LOOKUP_TABLES!E:E,LOOKUP_TABLES!D:D),"Not Found")</f>
        <v>MobileMaster NG</v>
      </c>
      <c r="M8" s="60">
        <f>IFERROR(INDEX(LOOKUP_TABLES!E:E,MATCH(B8,LOOKUP_TABLES!A:A,0)),"Not Found")</f>
        <v>12</v>
      </c>
      <c r="N8" s="61" t="str">
        <f>_xlfn.XLOOKUP(B:B,LOOKUP_TABLES!A:A,LOOKUP_TABLES!F:F)</f>
        <v>SKU-1002</v>
      </c>
    </row>
    <row r="9" spans="1:14" x14ac:dyDescent="0.3">
      <c r="A9" s="62" t="s">
        <v>79</v>
      </c>
      <c r="B9" s="63" t="s">
        <v>82</v>
      </c>
      <c r="C9" s="63">
        <v>7</v>
      </c>
      <c r="D9" s="64">
        <v>220000</v>
      </c>
      <c r="E9" s="63">
        <v>0</v>
      </c>
      <c r="F9" s="63" t="s">
        <v>51</v>
      </c>
      <c r="G9" s="64">
        <f t="shared" si="0"/>
        <v>1540000</v>
      </c>
      <c r="H9" s="64">
        <f t="shared" si="1"/>
        <v>1540000</v>
      </c>
      <c r="I9" s="64">
        <f t="shared" si="2"/>
        <v>115500</v>
      </c>
      <c r="J9" s="64">
        <f t="shared" si="3"/>
        <v>1655500</v>
      </c>
      <c r="K9" s="63" t="str">
        <f>IFERROR(_xlfn.XLOOKUP(B:B,LOOKUP_TABLES!A:A,LOOKUP_TABLES!B:B),"Not Found")</f>
        <v>Electronics</v>
      </c>
      <c r="L9" s="65" t="str">
        <f>IFERROR(_xlfn.XLOOKUP(M:M,LOOKUP_TABLES!E:E,LOOKUP_TABLES!D:D),"Not Found")</f>
        <v>MobileMaster NG</v>
      </c>
      <c r="M9" s="65">
        <f>IFERROR(INDEX(LOOKUP_TABLES!E:E,MATCH(B9,LOOKUP_TABLES!A:A,0)),"Not Found")</f>
        <v>12</v>
      </c>
      <c r="N9" s="61" t="str">
        <f>_xlfn.XLOOKUP(B:B,LOOKUP_TABLES!A:A,LOOKUP_TABLES!F:F)</f>
        <v>SKU-1001</v>
      </c>
    </row>
    <row r="10" spans="1:14" x14ac:dyDescent="0.3">
      <c r="A10" s="57" t="s">
        <v>84</v>
      </c>
      <c r="B10" s="58" t="s">
        <v>61</v>
      </c>
      <c r="C10" s="58">
        <v>8</v>
      </c>
      <c r="D10" s="59">
        <v>22000</v>
      </c>
      <c r="E10" s="58">
        <v>0</v>
      </c>
      <c r="F10" s="58" t="s">
        <v>86</v>
      </c>
      <c r="G10" s="59">
        <f t="shared" si="0"/>
        <v>176000</v>
      </c>
      <c r="H10" s="59">
        <f t="shared" si="1"/>
        <v>176000</v>
      </c>
      <c r="I10" s="59">
        <f t="shared" si="2"/>
        <v>13200</v>
      </c>
      <c r="J10" s="59">
        <f t="shared" si="3"/>
        <v>189200</v>
      </c>
      <c r="K10" s="58" t="str">
        <f>IFERROR(_xlfn.XLOOKUP(B:B,LOOKUP_TABLES!A:A,LOOKUP_TABLES!B:B),"Not Found")</f>
        <v>Accessories</v>
      </c>
      <c r="L10" s="60" t="str">
        <f>IFERROR(_xlfn.XLOOKUP(M:M,LOOKUP_TABLES!E:E,LOOKUP_TABLES!D:D),"Not Found")</f>
        <v>MobileMaster NG</v>
      </c>
      <c r="M10" s="60">
        <f>IFERROR(INDEX(LOOKUP_TABLES!E:E,MATCH(B10,LOOKUP_TABLES!A:A,0)),"Not Found")</f>
        <v>12</v>
      </c>
      <c r="N10" s="61" t="str">
        <f>_xlfn.XLOOKUP(B:B,LOOKUP_TABLES!A:A,LOOKUP_TABLES!F:F)</f>
        <v>SKU-1007</v>
      </c>
    </row>
    <row r="11" spans="1:14" x14ac:dyDescent="0.3">
      <c r="A11" s="62" t="s">
        <v>88</v>
      </c>
      <c r="B11" s="63" t="s">
        <v>76</v>
      </c>
      <c r="C11" s="63">
        <v>10</v>
      </c>
      <c r="D11" s="64">
        <v>180000</v>
      </c>
      <c r="E11" s="63">
        <v>5</v>
      </c>
      <c r="F11" s="63" t="s">
        <v>44</v>
      </c>
      <c r="G11" s="64">
        <f t="shared" si="0"/>
        <v>1800000</v>
      </c>
      <c r="H11" s="64">
        <f t="shared" si="1"/>
        <v>1710000</v>
      </c>
      <c r="I11" s="64">
        <f t="shared" si="2"/>
        <v>128250</v>
      </c>
      <c r="J11" s="64">
        <f t="shared" si="3"/>
        <v>1838250</v>
      </c>
      <c r="K11" s="63" t="str">
        <f>IFERROR(_xlfn.XLOOKUP(B:B,LOOKUP_TABLES!A:A,LOOKUP_TABLES!B:B),"Not Found")</f>
        <v>Electronics</v>
      </c>
      <c r="L11" s="65" t="str">
        <f>IFERROR(_xlfn.XLOOKUP(M:M,LOOKUP_TABLES!E:E,LOOKUP_TABLES!D:D),"Not Found")</f>
        <v>MobileMaster NG</v>
      </c>
      <c r="M11" s="65">
        <f>IFERROR(INDEX(LOOKUP_TABLES!E:E,MATCH(B11,LOOKUP_TABLES!A:A,0)),"Not Found")</f>
        <v>12</v>
      </c>
      <c r="N11" s="61" t="str">
        <f>_xlfn.XLOOKUP(B:B,LOOKUP_TABLES!A:A,LOOKUP_TABLES!F:F)</f>
        <v>SKU-1002</v>
      </c>
    </row>
    <row r="12" spans="1:14" x14ac:dyDescent="0.3">
      <c r="A12" s="57" t="s">
        <v>90</v>
      </c>
      <c r="B12" s="58" t="s">
        <v>92</v>
      </c>
      <c r="C12" s="58">
        <v>19</v>
      </c>
      <c r="D12" s="59">
        <v>450000</v>
      </c>
      <c r="E12" s="58">
        <v>10</v>
      </c>
      <c r="F12" s="58" t="s">
        <v>51</v>
      </c>
      <c r="G12" s="59">
        <f t="shared" si="0"/>
        <v>8550000</v>
      </c>
      <c r="H12" s="59">
        <f t="shared" si="1"/>
        <v>7695000</v>
      </c>
      <c r="I12" s="59">
        <f t="shared" si="2"/>
        <v>577125</v>
      </c>
      <c r="J12" s="59">
        <f t="shared" si="3"/>
        <v>8272125</v>
      </c>
      <c r="K12" s="58" t="str">
        <f>IFERROR(_xlfn.XLOOKUP(B:B,LOOKUP_TABLES!A:A,LOOKUP_TABLES!B:B),"Not Found")</f>
        <v>Electronics</v>
      </c>
      <c r="L12" s="60" t="str">
        <f>IFERROR(_xlfn.XLOOKUP(M:M,LOOKUP_TABLES!E:E,LOOKUP_TABLES!D:D),"Not Found")</f>
        <v>TechGlobal Ltd</v>
      </c>
      <c r="M12" s="60">
        <f>IFERROR(INDEX(LOOKUP_TABLES!E:E,MATCH(B12,LOOKUP_TABLES!A:A,0)),"Not Found")</f>
        <v>24</v>
      </c>
      <c r="N12" s="61" t="str">
        <f>_xlfn.XLOOKUP(B:B,LOOKUP_TABLES!A:A,LOOKUP_TABLES!F:F)</f>
        <v>SKU-1000</v>
      </c>
    </row>
    <row r="13" spans="1:14" x14ac:dyDescent="0.3">
      <c r="A13" s="62" t="s">
        <v>94</v>
      </c>
      <c r="B13" s="63" t="s">
        <v>57</v>
      </c>
      <c r="C13" s="63">
        <v>20</v>
      </c>
      <c r="D13" s="64">
        <v>28000</v>
      </c>
      <c r="E13" s="63">
        <v>10</v>
      </c>
      <c r="F13" s="63" t="s">
        <v>51</v>
      </c>
      <c r="G13" s="64">
        <f t="shared" si="0"/>
        <v>560000</v>
      </c>
      <c r="H13" s="64">
        <f t="shared" si="1"/>
        <v>504000</v>
      </c>
      <c r="I13" s="64">
        <f t="shared" si="2"/>
        <v>37800</v>
      </c>
      <c r="J13" s="64">
        <f t="shared" si="3"/>
        <v>541800</v>
      </c>
      <c r="K13" s="63" t="str">
        <f>IFERROR(_xlfn.XLOOKUP(B:B,LOOKUP_TABLES!A:A,LOOKUP_TABLES!B:B),"Not Found")</f>
        <v>Accessories</v>
      </c>
      <c r="L13" s="65" t="str">
        <f>IFERROR(_xlfn.XLOOKUP(M:M,LOOKUP_TABLES!E:E,LOOKUP_TABLES!D:D),"Not Found")</f>
        <v>MobileMaster NG</v>
      </c>
      <c r="M13" s="65">
        <f>IFERROR(INDEX(LOOKUP_TABLES!E:E,MATCH(B13,LOOKUP_TABLES!A:A,0)),"Not Found")</f>
        <v>12</v>
      </c>
      <c r="N13" s="61" t="str">
        <f>_xlfn.XLOOKUP(B:B,LOOKUP_TABLES!A:A,LOOKUP_TABLES!F:F)</f>
        <v>SKU-1005</v>
      </c>
    </row>
    <row r="14" spans="1:14" x14ac:dyDescent="0.3">
      <c r="A14" s="57" t="s">
        <v>97</v>
      </c>
      <c r="B14" s="58" t="s">
        <v>99</v>
      </c>
      <c r="C14" s="58">
        <v>15</v>
      </c>
      <c r="D14" s="59">
        <v>95000</v>
      </c>
      <c r="E14" s="58">
        <v>0</v>
      </c>
      <c r="F14" s="58" t="s">
        <v>51</v>
      </c>
      <c r="G14" s="59">
        <f t="shared" si="0"/>
        <v>1425000</v>
      </c>
      <c r="H14" s="59">
        <f t="shared" si="1"/>
        <v>1425000</v>
      </c>
      <c r="I14" s="59">
        <f t="shared" si="2"/>
        <v>106875</v>
      </c>
      <c r="J14" s="59">
        <f t="shared" si="3"/>
        <v>1531875</v>
      </c>
      <c r="K14" s="58" t="str">
        <f>IFERROR(_xlfn.XLOOKUP(B:B,LOOKUP_TABLES!A:A,LOOKUP_TABLES!B:B),"Not Found")</f>
        <v>Electronics</v>
      </c>
      <c r="L14" s="60" t="str">
        <f>IFERROR(_xlfn.XLOOKUP(M:M,LOOKUP_TABLES!E:E,LOOKUP_TABLES!D:D),"Not Found")</f>
        <v>TechGlobal Ltd</v>
      </c>
      <c r="M14" s="60">
        <f>IFERROR(INDEX(LOOKUP_TABLES!E:E,MATCH(B14,LOOKUP_TABLES!A:A,0)),"Not Found")</f>
        <v>24</v>
      </c>
      <c r="N14" s="61" t="str">
        <f>_xlfn.XLOOKUP(B:B,LOOKUP_TABLES!A:A,LOOKUP_TABLES!F:F)</f>
        <v>SKU-1004</v>
      </c>
    </row>
    <row r="15" spans="1:14" x14ac:dyDescent="0.3">
      <c r="A15" s="62" t="s">
        <v>101</v>
      </c>
      <c r="B15" s="63" t="s">
        <v>82</v>
      </c>
      <c r="C15" s="63">
        <v>16</v>
      </c>
      <c r="D15" s="64">
        <v>220000</v>
      </c>
      <c r="E15" s="63">
        <v>20</v>
      </c>
      <c r="F15" s="63" t="s">
        <v>51</v>
      </c>
      <c r="G15" s="64">
        <f t="shared" si="0"/>
        <v>3520000</v>
      </c>
      <c r="H15" s="64">
        <f t="shared" si="1"/>
        <v>2816000</v>
      </c>
      <c r="I15" s="64">
        <f t="shared" si="2"/>
        <v>211200</v>
      </c>
      <c r="J15" s="64">
        <f t="shared" si="3"/>
        <v>3027200</v>
      </c>
      <c r="K15" s="63" t="str">
        <f>IFERROR(_xlfn.XLOOKUP(B:B,LOOKUP_TABLES!A:A,LOOKUP_TABLES!B:B),"Not Found")</f>
        <v>Electronics</v>
      </c>
      <c r="L15" s="65" t="str">
        <f>IFERROR(_xlfn.XLOOKUP(M:M,LOOKUP_TABLES!E:E,LOOKUP_TABLES!D:D),"Not Found")</f>
        <v>MobileMaster NG</v>
      </c>
      <c r="M15" s="65">
        <f>IFERROR(INDEX(LOOKUP_TABLES!E:E,MATCH(B15,LOOKUP_TABLES!A:A,0)),"Not Found")</f>
        <v>12</v>
      </c>
      <c r="N15" s="61" t="str">
        <f>_xlfn.XLOOKUP(B:B,LOOKUP_TABLES!A:A,LOOKUP_TABLES!F:F)</f>
        <v>SKU-1001</v>
      </c>
    </row>
    <row r="16" spans="1:14" x14ac:dyDescent="0.3">
      <c r="A16" s="57" t="s">
        <v>104</v>
      </c>
      <c r="B16" s="58" t="s">
        <v>92</v>
      </c>
      <c r="C16" s="58">
        <v>18</v>
      </c>
      <c r="D16" s="59">
        <v>450000</v>
      </c>
      <c r="E16" s="58">
        <v>15</v>
      </c>
      <c r="F16" s="58" t="s">
        <v>51</v>
      </c>
      <c r="G16" s="59">
        <f t="shared" si="0"/>
        <v>8100000</v>
      </c>
      <c r="H16" s="59">
        <f t="shared" si="1"/>
        <v>6885000</v>
      </c>
      <c r="I16" s="59">
        <f t="shared" si="2"/>
        <v>516375</v>
      </c>
      <c r="J16" s="59">
        <f t="shared" si="3"/>
        <v>7401375</v>
      </c>
      <c r="K16" s="58" t="str">
        <f>IFERROR(_xlfn.XLOOKUP(B:B,LOOKUP_TABLES!A:A,LOOKUP_TABLES!B:B),"Not Found")</f>
        <v>Electronics</v>
      </c>
      <c r="L16" s="60" t="str">
        <f>IFERROR(_xlfn.XLOOKUP(M:M,LOOKUP_TABLES!E:E,LOOKUP_TABLES!D:D),"Not Found")</f>
        <v>TechGlobal Ltd</v>
      </c>
      <c r="M16" s="60">
        <f>IFERROR(INDEX(LOOKUP_TABLES!E:E,MATCH(B16,LOOKUP_TABLES!A:A,0)),"Not Found")</f>
        <v>24</v>
      </c>
      <c r="N16" s="61" t="str">
        <f>_xlfn.XLOOKUP(B:B,LOOKUP_TABLES!A:A,LOOKUP_TABLES!F:F)</f>
        <v>SKU-1000</v>
      </c>
    </row>
    <row r="17" spans="1:14" x14ac:dyDescent="0.3">
      <c r="A17" s="62" t="s">
        <v>107</v>
      </c>
      <c r="B17" s="63" t="s">
        <v>82</v>
      </c>
      <c r="C17" s="63">
        <v>10</v>
      </c>
      <c r="D17" s="64">
        <v>220000</v>
      </c>
      <c r="E17" s="63">
        <v>10</v>
      </c>
      <c r="F17" s="63" t="s">
        <v>51</v>
      </c>
      <c r="G17" s="64">
        <f t="shared" si="0"/>
        <v>2200000</v>
      </c>
      <c r="H17" s="64">
        <f t="shared" si="1"/>
        <v>1980000</v>
      </c>
      <c r="I17" s="64">
        <f t="shared" si="2"/>
        <v>148500</v>
      </c>
      <c r="J17" s="64">
        <f t="shared" si="3"/>
        <v>2128500</v>
      </c>
      <c r="K17" s="63" t="str">
        <f>IFERROR(_xlfn.XLOOKUP(B:B,LOOKUP_TABLES!A:A,LOOKUP_TABLES!B:B),"Not Found")</f>
        <v>Electronics</v>
      </c>
      <c r="L17" s="65" t="str">
        <f>IFERROR(_xlfn.XLOOKUP(M:M,LOOKUP_TABLES!E:E,LOOKUP_TABLES!D:D),"Not Found")</f>
        <v>MobileMaster NG</v>
      </c>
      <c r="M17" s="65">
        <f>IFERROR(INDEX(LOOKUP_TABLES!E:E,MATCH(B17,LOOKUP_TABLES!A:A,0)),"Not Found")</f>
        <v>12</v>
      </c>
      <c r="N17" s="61" t="str">
        <f>_xlfn.XLOOKUP(B:B,LOOKUP_TABLES!A:A,LOOKUP_TABLES!F:F)</f>
        <v>SKU-1001</v>
      </c>
    </row>
    <row r="18" spans="1:14" x14ac:dyDescent="0.3">
      <c r="A18" s="57" t="s">
        <v>111</v>
      </c>
      <c r="B18" s="58" t="s">
        <v>92</v>
      </c>
      <c r="C18" s="58">
        <v>16</v>
      </c>
      <c r="D18" s="59">
        <v>450000</v>
      </c>
      <c r="E18" s="58">
        <v>0</v>
      </c>
      <c r="F18" s="58" t="s">
        <v>86</v>
      </c>
      <c r="G18" s="59">
        <f t="shared" si="0"/>
        <v>7200000</v>
      </c>
      <c r="H18" s="59">
        <f t="shared" si="1"/>
        <v>7200000</v>
      </c>
      <c r="I18" s="59">
        <f t="shared" si="2"/>
        <v>540000</v>
      </c>
      <c r="J18" s="59">
        <f t="shared" si="3"/>
        <v>7740000</v>
      </c>
      <c r="K18" s="58" t="str">
        <f>IFERROR(_xlfn.XLOOKUP(B:B,LOOKUP_TABLES!A:A,LOOKUP_TABLES!B:B),"Not Found")</f>
        <v>Electronics</v>
      </c>
      <c r="L18" s="60" t="str">
        <f>IFERROR(_xlfn.XLOOKUP(M:M,LOOKUP_TABLES!E:E,LOOKUP_TABLES!D:D),"Not Found")</f>
        <v>TechGlobal Ltd</v>
      </c>
      <c r="M18" s="60">
        <f>IFERROR(INDEX(LOOKUP_TABLES!E:E,MATCH(B18,LOOKUP_TABLES!A:A,0)),"Not Found")</f>
        <v>24</v>
      </c>
      <c r="N18" s="61" t="str">
        <f>_xlfn.XLOOKUP(B:B,LOOKUP_TABLES!A:A,LOOKUP_TABLES!F:F)</f>
        <v>SKU-1000</v>
      </c>
    </row>
    <row r="19" spans="1:14" x14ac:dyDescent="0.3">
      <c r="A19" s="62" t="s">
        <v>113</v>
      </c>
      <c r="B19" s="63" t="s">
        <v>61</v>
      </c>
      <c r="C19" s="63">
        <v>10</v>
      </c>
      <c r="D19" s="64">
        <v>22000</v>
      </c>
      <c r="E19" s="63">
        <v>5</v>
      </c>
      <c r="F19" s="63" t="s">
        <v>51</v>
      </c>
      <c r="G19" s="64">
        <f t="shared" si="0"/>
        <v>220000</v>
      </c>
      <c r="H19" s="64">
        <f t="shared" si="1"/>
        <v>209000</v>
      </c>
      <c r="I19" s="64">
        <f t="shared" si="2"/>
        <v>15675</v>
      </c>
      <c r="J19" s="64">
        <f t="shared" si="3"/>
        <v>224675</v>
      </c>
      <c r="K19" s="63" t="str">
        <f>IFERROR(_xlfn.XLOOKUP(B:B,LOOKUP_TABLES!A:A,LOOKUP_TABLES!B:B),"Not Found")</f>
        <v>Accessories</v>
      </c>
      <c r="L19" s="65" t="str">
        <f>IFERROR(_xlfn.XLOOKUP(M:M,LOOKUP_TABLES!E:E,LOOKUP_TABLES!D:D),"Not Found")</f>
        <v>MobileMaster NG</v>
      </c>
      <c r="M19" s="65">
        <f>IFERROR(INDEX(LOOKUP_TABLES!E:E,MATCH(B19,LOOKUP_TABLES!A:A,0)),"Not Found")</f>
        <v>12</v>
      </c>
      <c r="N19" s="61" t="str">
        <f>_xlfn.XLOOKUP(B:B,LOOKUP_TABLES!A:A,LOOKUP_TABLES!F:F)</f>
        <v>SKU-1007</v>
      </c>
    </row>
    <row r="20" spans="1:14" x14ac:dyDescent="0.3">
      <c r="A20" s="57" t="s">
        <v>116</v>
      </c>
      <c r="B20" s="58" t="s">
        <v>57</v>
      </c>
      <c r="C20" s="58">
        <v>14</v>
      </c>
      <c r="D20" s="59">
        <v>28000</v>
      </c>
      <c r="E20" s="58">
        <v>0</v>
      </c>
      <c r="F20" s="58" t="s">
        <v>51</v>
      </c>
      <c r="G20" s="59">
        <f t="shared" si="0"/>
        <v>392000</v>
      </c>
      <c r="H20" s="59">
        <f t="shared" si="1"/>
        <v>392000</v>
      </c>
      <c r="I20" s="59">
        <f t="shared" si="2"/>
        <v>29400</v>
      </c>
      <c r="J20" s="59">
        <f t="shared" si="3"/>
        <v>421400</v>
      </c>
      <c r="K20" s="58" t="str">
        <f>IFERROR(_xlfn.XLOOKUP(B:B,LOOKUP_TABLES!A:A,LOOKUP_TABLES!B:B),"Not Found")</f>
        <v>Accessories</v>
      </c>
      <c r="L20" s="60" t="str">
        <f>IFERROR(_xlfn.XLOOKUP(M:M,LOOKUP_TABLES!E:E,LOOKUP_TABLES!D:D),"Not Found")</f>
        <v>MobileMaster NG</v>
      </c>
      <c r="M20" s="60">
        <f>IFERROR(INDEX(LOOKUP_TABLES!E:E,MATCH(B20,LOOKUP_TABLES!A:A,0)),"Not Found")</f>
        <v>12</v>
      </c>
      <c r="N20" s="61" t="str">
        <f>_xlfn.XLOOKUP(B:B,LOOKUP_TABLES!A:A,LOOKUP_TABLES!F:F)</f>
        <v>SKU-1005</v>
      </c>
    </row>
    <row r="21" spans="1:14" x14ac:dyDescent="0.3">
      <c r="A21" s="62" t="s">
        <v>119</v>
      </c>
      <c r="B21" s="63" t="s">
        <v>61</v>
      </c>
      <c r="C21" s="63">
        <v>8</v>
      </c>
      <c r="D21" s="64">
        <v>22000</v>
      </c>
      <c r="E21" s="63">
        <v>5</v>
      </c>
      <c r="F21" s="63" t="s">
        <v>51</v>
      </c>
      <c r="G21" s="64">
        <f t="shared" si="0"/>
        <v>176000</v>
      </c>
      <c r="H21" s="64">
        <f t="shared" si="1"/>
        <v>167200</v>
      </c>
      <c r="I21" s="64">
        <f t="shared" si="2"/>
        <v>12540</v>
      </c>
      <c r="J21" s="64">
        <f t="shared" si="3"/>
        <v>179740</v>
      </c>
      <c r="K21" s="63" t="str">
        <f>IFERROR(_xlfn.XLOOKUP(B:B,LOOKUP_TABLES!A:A,LOOKUP_TABLES!B:B),"Not Found")</f>
        <v>Accessories</v>
      </c>
      <c r="L21" s="65" t="str">
        <f>IFERROR(_xlfn.XLOOKUP(M:M,LOOKUP_TABLES!E:E,LOOKUP_TABLES!D:D),"Not Found")</f>
        <v>MobileMaster NG</v>
      </c>
      <c r="M21" s="65">
        <f>IFERROR(INDEX(LOOKUP_TABLES!E:E,MATCH(B21,LOOKUP_TABLES!A:A,0)),"Not Found")</f>
        <v>12</v>
      </c>
      <c r="N21" s="61" t="str">
        <f>_xlfn.XLOOKUP(B:B,LOOKUP_TABLES!A:A,LOOKUP_TABLES!F:F)</f>
        <v>SKU-1007</v>
      </c>
    </row>
    <row r="22" spans="1:14" x14ac:dyDescent="0.3">
      <c r="A22" s="57" t="s">
        <v>121</v>
      </c>
      <c r="B22" s="58" t="s">
        <v>50</v>
      </c>
      <c r="C22" s="58">
        <v>19</v>
      </c>
      <c r="D22" s="59">
        <v>18000</v>
      </c>
      <c r="E22" s="58">
        <v>15</v>
      </c>
      <c r="F22" s="58" t="s">
        <v>51</v>
      </c>
      <c r="G22" s="59">
        <f t="shared" si="0"/>
        <v>342000</v>
      </c>
      <c r="H22" s="59">
        <f t="shared" si="1"/>
        <v>290700</v>
      </c>
      <c r="I22" s="59">
        <f t="shared" si="2"/>
        <v>21802.5</v>
      </c>
      <c r="J22" s="59">
        <f t="shared" si="3"/>
        <v>312502.5</v>
      </c>
      <c r="K22" s="58" t="str">
        <f>IFERROR(_xlfn.XLOOKUP(B:B,LOOKUP_TABLES!A:A,LOOKUP_TABLES!B:B),"Not Found")</f>
        <v>Accessories</v>
      </c>
      <c r="L22" s="60" t="str">
        <f>IFERROR(_xlfn.XLOOKUP(M:M,LOOKUP_TABLES!E:E,LOOKUP_TABLES!D:D),"Not Found")</f>
        <v>MobileMaster NG</v>
      </c>
      <c r="M22" s="60">
        <f>IFERROR(INDEX(LOOKUP_TABLES!E:E,MATCH(B22,LOOKUP_TABLES!A:A,0)),"Not Found")</f>
        <v>12</v>
      </c>
      <c r="N22" s="61" t="str">
        <f>_xlfn.XLOOKUP(B:B,LOOKUP_TABLES!A:A,LOOKUP_TABLES!F:F)</f>
        <v>SKU-1006</v>
      </c>
    </row>
    <row r="23" spans="1:14" x14ac:dyDescent="0.3">
      <c r="A23" s="62" t="s">
        <v>124</v>
      </c>
      <c r="B23" s="63" t="s">
        <v>76</v>
      </c>
      <c r="C23" s="63">
        <v>12</v>
      </c>
      <c r="D23" s="64">
        <v>180000</v>
      </c>
      <c r="E23" s="63">
        <v>0</v>
      </c>
      <c r="F23" s="63" t="s">
        <v>51</v>
      </c>
      <c r="G23" s="64">
        <f t="shared" si="0"/>
        <v>2160000</v>
      </c>
      <c r="H23" s="64">
        <f t="shared" si="1"/>
        <v>2160000</v>
      </c>
      <c r="I23" s="64">
        <f t="shared" si="2"/>
        <v>162000</v>
      </c>
      <c r="J23" s="64">
        <f t="shared" si="3"/>
        <v>2322000</v>
      </c>
      <c r="K23" s="63" t="str">
        <f>IFERROR(_xlfn.XLOOKUP(B:B,LOOKUP_TABLES!A:A,LOOKUP_TABLES!B:B),"Not Found")</f>
        <v>Electronics</v>
      </c>
      <c r="L23" s="65" t="str">
        <f>IFERROR(_xlfn.XLOOKUP(M:M,LOOKUP_TABLES!E:E,LOOKUP_TABLES!D:D),"Not Found")</f>
        <v>MobileMaster NG</v>
      </c>
      <c r="M23" s="65">
        <f>IFERROR(INDEX(LOOKUP_TABLES!E:E,MATCH(B23,LOOKUP_TABLES!A:A,0)),"Not Found")</f>
        <v>12</v>
      </c>
      <c r="N23" s="61" t="str">
        <f>_xlfn.XLOOKUP(B:B,LOOKUP_TABLES!A:A,LOOKUP_TABLES!F:F)</f>
        <v>SKU-1002</v>
      </c>
    </row>
    <row r="24" spans="1:14" x14ac:dyDescent="0.3">
      <c r="A24" s="62" t="s">
        <v>126</v>
      </c>
      <c r="B24" s="63" t="s">
        <v>57</v>
      </c>
      <c r="C24" s="63">
        <v>19</v>
      </c>
      <c r="D24" s="64">
        <v>28000</v>
      </c>
      <c r="E24" s="63">
        <v>15</v>
      </c>
      <c r="F24" s="63" t="s">
        <v>51</v>
      </c>
      <c r="G24" s="64">
        <f t="shared" si="0"/>
        <v>532000</v>
      </c>
      <c r="H24" s="64">
        <f t="shared" si="1"/>
        <v>452200</v>
      </c>
      <c r="I24" s="64">
        <f t="shared" si="2"/>
        <v>33915</v>
      </c>
      <c r="J24" s="64">
        <f t="shared" si="3"/>
        <v>486115</v>
      </c>
      <c r="K24" s="63" t="str">
        <f>IFERROR(_xlfn.XLOOKUP(B:B,LOOKUP_TABLES!A:A,LOOKUP_TABLES!B:B),"Not Found")</f>
        <v>Accessories</v>
      </c>
      <c r="L24" s="65" t="str">
        <f>IFERROR(_xlfn.XLOOKUP(M:M,LOOKUP_TABLES!E:E,LOOKUP_TABLES!D:D),"Not Found")</f>
        <v>MobileMaster NG</v>
      </c>
      <c r="M24" s="65">
        <f>IFERROR(INDEX(LOOKUP_TABLES!E:E,MATCH(B24,LOOKUP_TABLES!A:A,0)),"Not Found")</f>
        <v>12</v>
      </c>
      <c r="N24" s="61" t="str">
        <f>_xlfn.XLOOKUP(B:B,LOOKUP_TABLES!A:A,LOOKUP_TABLES!F:F)</f>
        <v>SKU-1005</v>
      </c>
    </row>
    <row r="25" spans="1:14" x14ac:dyDescent="0.3">
      <c r="A25" s="57" t="s">
        <v>128</v>
      </c>
      <c r="B25" s="58" t="s">
        <v>82</v>
      </c>
      <c r="C25" s="58">
        <v>19</v>
      </c>
      <c r="D25" s="59">
        <v>220000</v>
      </c>
      <c r="E25" s="58">
        <v>5</v>
      </c>
      <c r="F25" s="58" t="s">
        <v>131</v>
      </c>
      <c r="G25" s="59">
        <f t="shared" si="0"/>
        <v>4180000</v>
      </c>
      <c r="H25" s="59">
        <f t="shared" si="1"/>
        <v>3971000</v>
      </c>
      <c r="I25" s="59">
        <f t="shared" si="2"/>
        <v>297825</v>
      </c>
      <c r="J25" s="59">
        <f t="shared" si="3"/>
        <v>4268825</v>
      </c>
      <c r="K25" s="58" t="str">
        <f>IFERROR(_xlfn.XLOOKUP(B:B,LOOKUP_TABLES!A:A,LOOKUP_TABLES!B:B),"Not Found")</f>
        <v>Electronics</v>
      </c>
      <c r="L25" s="60" t="str">
        <f>IFERROR(_xlfn.XLOOKUP(M:M,LOOKUP_TABLES!E:E,LOOKUP_TABLES!D:D),"Not Found")</f>
        <v>MobileMaster NG</v>
      </c>
      <c r="M25" s="60">
        <f>IFERROR(INDEX(LOOKUP_TABLES!E:E,MATCH(B25,LOOKUP_TABLES!A:A,0)),"Not Found")</f>
        <v>12</v>
      </c>
      <c r="N25" s="61" t="str">
        <f>_xlfn.XLOOKUP(B:B,LOOKUP_TABLES!A:A,LOOKUP_TABLES!F:F)</f>
        <v>SKU-1001</v>
      </c>
    </row>
    <row r="26" spans="1:14" x14ac:dyDescent="0.3">
      <c r="A26" s="62" t="s">
        <v>133</v>
      </c>
      <c r="B26" s="63" t="s">
        <v>50</v>
      </c>
      <c r="C26" s="63">
        <v>2</v>
      </c>
      <c r="D26" s="64">
        <v>18000</v>
      </c>
      <c r="E26" s="63">
        <v>0</v>
      </c>
      <c r="F26" s="63" t="s">
        <v>51</v>
      </c>
      <c r="G26" s="64">
        <f t="shared" si="0"/>
        <v>36000</v>
      </c>
      <c r="H26" s="64">
        <f t="shared" si="1"/>
        <v>36000</v>
      </c>
      <c r="I26" s="64">
        <f t="shared" si="2"/>
        <v>2700</v>
      </c>
      <c r="J26" s="64">
        <f t="shared" si="3"/>
        <v>38700</v>
      </c>
      <c r="K26" s="63" t="str">
        <f>IFERROR(_xlfn.XLOOKUP(B:B,LOOKUP_TABLES!A:A,LOOKUP_TABLES!B:B),"Not Found")</f>
        <v>Accessories</v>
      </c>
      <c r="L26" s="65" t="str">
        <f>IFERROR(_xlfn.XLOOKUP(M:M,LOOKUP_TABLES!E:E,LOOKUP_TABLES!D:D),"Not Found")</f>
        <v>MobileMaster NG</v>
      </c>
      <c r="M26" s="65">
        <f>IFERROR(INDEX(LOOKUP_TABLES!E:E,MATCH(B26,LOOKUP_TABLES!A:A,0)),"Not Found")</f>
        <v>12</v>
      </c>
      <c r="N26" s="61" t="str">
        <f>_xlfn.XLOOKUP(B:B,LOOKUP_TABLES!A:A,LOOKUP_TABLES!F:F)</f>
        <v>SKU-1006</v>
      </c>
    </row>
    <row r="27" spans="1:14" x14ac:dyDescent="0.3">
      <c r="A27" s="57" t="s">
        <v>135</v>
      </c>
      <c r="B27" s="58" t="s">
        <v>61</v>
      </c>
      <c r="C27" s="58">
        <v>10</v>
      </c>
      <c r="D27" s="59">
        <v>22000</v>
      </c>
      <c r="E27" s="58">
        <v>0</v>
      </c>
      <c r="F27" s="58" t="s">
        <v>44</v>
      </c>
      <c r="G27" s="59">
        <f t="shared" si="0"/>
        <v>220000</v>
      </c>
      <c r="H27" s="59">
        <f t="shared" si="1"/>
        <v>220000</v>
      </c>
      <c r="I27" s="59">
        <f t="shared" si="2"/>
        <v>16500</v>
      </c>
      <c r="J27" s="59">
        <f t="shared" si="3"/>
        <v>236500</v>
      </c>
      <c r="K27" s="58" t="str">
        <f>IFERROR(_xlfn.XLOOKUP(B:B,LOOKUP_TABLES!A:A,LOOKUP_TABLES!B:B),"Not Found")</f>
        <v>Accessories</v>
      </c>
      <c r="L27" s="60" t="str">
        <f>IFERROR(_xlfn.XLOOKUP(M:M,LOOKUP_TABLES!E:E,LOOKUP_TABLES!D:D),"Not Found")</f>
        <v>MobileMaster NG</v>
      </c>
      <c r="M27" s="60">
        <f>IFERROR(INDEX(LOOKUP_TABLES!E:E,MATCH(B27,LOOKUP_TABLES!A:A,0)),"Not Found")</f>
        <v>12</v>
      </c>
      <c r="N27" s="61" t="str">
        <f>_xlfn.XLOOKUP(B:B,LOOKUP_TABLES!A:A,LOOKUP_TABLES!F:F)</f>
        <v>SKU-1007</v>
      </c>
    </row>
    <row r="28" spans="1:14" x14ac:dyDescent="0.3">
      <c r="A28" s="62" t="s">
        <v>139</v>
      </c>
      <c r="B28" s="63" t="s">
        <v>76</v>
      </c>
      <c r="C28" s="63">
        <v>15</v>
      </c>
      <c r="D28" s="64">
        <v>180000</v>
      </c>
      <c r="E28" s="63">
        <v>0</v>
      </c>
      <c r="F28" s="63" t="s">
        <v>131</v>
      </c>
      <c r="G28" s="64">
        <f t="shared" si="0"/>
        <v>2700000</v>
      </c>
      <c r="H28" s="64">
        <f t="shared" si="1"/>
        <v>2700000</v>
      </c>
      <c r="I28" s="64">
        <f t="shared" si="2"/>
        <v>202500</v>
      </c>
      <c r="J28" s="64">
        <f t="shared" si="3"/>
        <v>2902500</v>
      </c>
      <c r="K28" s="63" t="str">
        <f>IFERROR(_xlfn.XLOOKUP(B:B,LOOKUP_TABLES!A:A,LOOKUP_TABLES!B:B),"Not Found")</f>
        <v>Electronics</v>
      </c>
      <c r="L28" s="65" t="str">
        <f>IFERROR(_xlfn.XLOOKUP(M:M,LOOKUP_TABLES!E:E,LOOKUP_TABLES!D:D),"Not Found")</f>
        <v>MobileMaster NG</v>
      </c>
      <c r="M28" s="65">
        <f>IFERROR(INDEX(LOOKUP_TABLES!E:E,MATCH(B28,LOOKUP_TABLES!A:A,0)),"Not Found")</f>
        <v>12</v>
      </c>
      <c r="N28" s="61" t="str">
        <f>_xlfn.XLOOKUP(B:B,LOOKUP_TABLES!A:A,LOOKUP_TABLES!F:F)</f>
        <v>SKU-1002</v>
      </c>
    </row>
    <row r="29" spans="1:14" x14ac:dyDescent="0.3">
      <c r="A29" s="57" t="s">
        <v>143</v>
      </c>
      <c r="B29" s="58" t="s">
        <v>92</v>
      </c>
      <c r="C29" s="58">
        <v>15</v>
      </c>
      <c r="D29" s="59">
        <v>450000</v>
      </c>
      <c r="E29" s="58">
        <v>10</v>
      </c>
      <c r="F29" s="58" t="s">
        <v>51</v>
      </c>
      <c r="G29" s="59">
        <f t="shared" si="0"/>
        <v>6750000</v>
      </c>
      <c r="H29" s="59">
        <f t="shared" si="1"/>
        <v>6075000</v>
      </c>
      <c r="I29" s="59">
        <f t="shared" si="2"/>
        <v>455625</v>
      </c>
      <c r="J29" s="59">
        <f t="shared" si="3"/>
        <v>6530625</v>
      </c>
      <c r="K29" s="58" t="str">
        <f>IFERROR(_xlfn.XLOOKUP(B:B,LOOKUP_TABLES!A:A,LOOKUP_TABLES!B:B),"Not Found")</f>
        <v>Electronics</v>
      </c>
      <c r="L29" s="60" t="str">
        <f>IFERROR(_xlfn.XLOOKUP(M:M,LOOKUP_TABLES!E:E,LOOKUP_TABLES!D:D),"Not Found")</f>
        <v>TechGlobal Ltd</v>
      </c>
      <c r="M29" s="60">
        <f>IFERROR(INDEX(LOOKUP_TABLES!E:E,MATCH(B29,LOOKUP_TABLES!A:A,0)),"Not Found")</f>
        <v>24</v>
      </c>
      <c r="N29" s="61" t="str">
        <f>_xlfn.XLOOKUP(B:B,LOOKUP_TABLES!A:A,LOOKUP_TABLES!F:F)</f>
        <v>SKU-1000</v>
      </c>
    </row>
    <row r="30" spans="1:14" x14ac:dyDescent="0.3">
      <c r="A30" s="62" t="s">
        <v>145</v>
      </c>
      <c r="B30" s="63" t="s">
        <v>82</v>
      </c>
      <c r="C30" s="63">
        <v>18</v>
      </c>
      <c r="D30" s="64">
        <v>220000</v>
      </c>
      <c r="E30" s="63">
        <v>20</v>
      </c>
      <c r="F30" s="63" t="s">
        <v>51</v>
      </c>
      <c r="G30" s="64">
        <f t="shared" si="0"/>
        <v>3960000</v>
      </c>
      <c r="H30" s="64">
        <f t="shared" si="1"/>
        <v>3168000</v>
      </c>
      <c r="I30" s="64">
        <f t="shared" si="2"/>
        <v>237600</v>
      </c>
      <c r="J30" s="64">
        <f t="shared" si="3"/>
        <v>3405600</v>
      </c>
      <c r="K30" s="63" t="str">
        <f>IFERROR(_xlfn.XLOOKUP(B:B,LOOKUP_TABLES!A:A,LOOKUP_TABLES!B:B),"Not Found")</f>
        <v>Electronics</v>
      </c>
      <c r="L30" s="65" t="str">
        <f>IFERROR(_xlfn.XLOOKUP(M:M,LOOKUP_TABLES!E:E,LOOKUP_TABLES!D:D),"Not Found")</f>
        <v>MobileMaster NG</v>
      </c>
      <c r="M30" s="65">
        <f>IFERROR(INDEX(LOOKUP_TABLES!E:E,MATCH(B30,LOOKUP_TABLES!A:A,0)),"Not Found")</f>
        <v>12</v>
      </c>
      <c r="N30" s="61" t="str">
        <f>_xlfn.XLOOKUP(B:B,LOOKUP_TABLES!A:A,LOOKUP_TABLES!F:F)</f>
        <v>SKU-1001</v>
      </c>
    </row>
    <row r="31" spans="1:14" x14ac:dyDescent="0.3">
      <c r="A31" s="57" t="s">
        <v>147</v>
      </c>
      <c r="B31" s="58" t="s">
        <v>99</v>
      </c>
      <c r="C31" s="58">
        <v>5</v>
      </c>
      <c r="D31" s="59">
        <v>95000</v>
      </c>
      <c r="E31" s="58">
        <v>15</v>
      </c>
      <c r="F31" s="58" t="s">
        <v>86</v>
      </c>
      <c r="G31" s="59">
        <f t="shared" si="0"/>
        <v>475000</v>
      </c>
      <c r="H31" s="59">
        <f t="shared" si="1"/>
        <v>403750</v>
      </c>
      <c r="I31" s="59">
        <f t="shared" si="2"/>
        <v>30281.25</v>
      </c>
      <c r="J31" s="59">
        <f t="shared" si="3"/>
        <v>434031.25</v>
      </c>
      <c r="K31" s="58" t="str">
        <f>IFERROR(_xlfn.XLOOKUP(B:B,LOOKUP_TABLES!A:A,LOOKUP_TABLES!B:B),"Not Found")</f>
        <v>Electronics</v>
      </c>
      <c r="L31" s="60" t="str">
        <f>IFERROR(_xlfn.XLOOKUP(M:M,LOOKUP_TABLES!E:E,LOOKUP_TABLES!D:D),"Not Found")</f>
        <v>TechGlobal Ltd</v>
      </c>
      <c r="M31" s="60">
        <f>IFERROR(INDEX(LOOKUP_TABLES!E:E,MATCH(B31,LOOKUP_TABLES!A:A,0)),"Not Found")</f>
        <v>24</v>
      </c>
      <c r="N31" s="61" t="str">
        <f>_xlfn.XLOOKUP(B:B,LOOKUP_TABLES!A:A,LOOKUP_TABLES!F:F)</f>
        <v>SKU-1004</v>
      </c>
    </row>
    <row r="32" spans="1:14" x14ac:dyDescent="0.3">
      <c r="A32" s="62" t="s">
        <v>150</v>
      </c>
      <c r="B32" s="63" t="s">
        <v>50</v>
      </c>
      <c r="C32" s="63">
        <v>7</v>
      </c>
      <c r="D32" s="64">
        <v>18000</v>
      </c>
      <c r="E32" s="63">
        <v>0</v>
      </c>
      <c r="F32" s="63" t="s">
        <v>51</v>
      </c>
      <c r="G32" s="64">
        <f t="shared" si="0"/>
        <v>126000</v>
      </c>
      <c r="H32" s="64">
        <f t="shared" si="1"/>
        <v>126000</v>
      </c>
      <c r="I32" s="64">
        <f t="shared" si="2"/>
        <v>9450</v>
      </c>
      <c r="J32" s="64">
        <f t="shared" si="3"/>
        <v>135450</v>
      </c>
      <c r="K32" s="63" t="str">
        <f>IFERROR(_xlfn.XLOOKUP(B:B,LOOKUP_TABLES!A:A,LOOKUP_TABLES!B:B),"Not Found")</f>
        <v>Accessories</v>
      </c>
      <c r="L32" s="65" t="str">
        <f>IFERROR(_xlfn.XLOOKUP(M:M,LOOKUP_TABLES!E:E,LOOKUP_TABLES!D:D),"Not Found")</f>
        <v>MobileMaster NG</v>
      </c>
      <c r="M32" s="65">
        <f>IFERROR(INDEX(LOOKUP_TABLES!E:E,MATCH(B32,LOOKUP_TABLES!A:A,0)),"Not Found")</f>
        <v>12</v>
      </c>
      <c r="N32" s="61" t="str">
        <f>_xlfn.XLOOKUP(B:B,LOOKUP_TABLES!A:A,LOOKUP_TABLES!F:F)</f>
        <v>SKU-1006</v>
      </c>
    </row>
    <row r="33" spans="1:14" x14ac:dyDescent="0.3">
      <c r="A33" s="57" t="s">
        <v>152</v>
      </c>
      <c r="B33" s="58" t="s">
        <v>76</v>
      </c>
      <c r="C33" s="58">
        <v>19</v>
      </c>
      <c r="D33" s="59">
        <v>180000</v>
      </c>
      <c r="E33" s="58">
        <v>0</v>
      </c>
      <c r="F33" s="58" t="s">
        <v>51</v>
      </c>
      <c r="G33" s="59">
        <f t="shared" si="0"/>
        <v>3420000</v>
      </c>
      <c r="H33" s="59">
        <f t="shared" si="1"/>
        <v>3420000</v>
      </c>
      <c r="I33" s="59">
        <f t="shared" si="2"/>
        <v>256500</v>
      </c>
      <c r="J33" s="59">
        <f t="shared" si="3"/>
        <v>3676500</v>
      </c>
      <c r="K33" s="58" t="str">
        <f>IFERROR(_xlfn.XLOOKUP(B:B,LOOKUP_TABLES!A:A,LOOKUP_TABLES!B:B),"Not Found")</f>
        <v>Electronics</v>
      </c>
      <c r="L33" s="60" t="str">
        <f>IFERROR(_xlfn.XLOOKUP(M:M,LOOKUP_TABLES!E:E,LOOKUP_TABLES!D:D),"Not Found")</f>
        <v>MobileMaster NG</v>
      </c>
      <c r="M33" s="60">
        <f>IFERROR(INDEX(LOOKUP_TABLES!E:E,MATCH(B33,LOOKUP_TABLES!A:A,0)),"Not Found")</f>
        <v>12</v>
      </c>
      <c r="N33" s="61" t="str">
        <f>_xlfn.XLOOKUP(B:B,LOOKUP_TABLES!A:A,LOOKUP_TABLES!F:F)</f>
        <v>SKU-1002</v>
      </c>
    </row>
    <row r="34" spans="1:14" x14ac:dyDescent="0.3">
      <c r="A34" s="62" t="s">
        <v>155</v>
      </c>
      <c r="B34" s="63" t="s">
        <v>82</v>
      </c>
      <c r="C34" s="63">
        <v>12</v>
      </c>
      <c r="D34" s="64">
        <v>220000</v>
      </c>
      <c r="E34" s="63">
        <v>20</v>
      </c>
      <c r="F34" s="63" t="s">
        <v>131</v>
      </c>
      <c r="G34" s="64">
        <f t="shared" ref="G34:G50" si="4">C34*D34</f>
        <v>2640000</v>
      </c>
      <c r="H34" s="64">
        <f t="shared" ref="H34:H50" si="5">G34*(1-E34/100)</f>
        <v>2112000</v>
      </c>
      <c r="I34" s="64">
        <f t="shared" ref="I34:I50" si="6">H34*0.075</f>
        <v>158400</v>
      </c>
      <c r="J34" s="64">
        <f t="shared" ref="J34:J50" si="7">H34+I34</f>
        <v>2270400</v>
      </c>
      <c r="K34" s="63" t="str">
        <f>IFERROR(_xlfn.XLOOKUP(B:B,LOOKUP_TABLES!A:A,LOOKUP_TABLES!B:B),"Not Found")</f>
        <v>Electronics</v>
      </c>
      <c r="L34" s="65" t="str">
        <f>IFERROR(_xlfn.XLOOKUP(M:M,LOOKUP_TABLES!E:E,LOOKUP_TABLES!D:D),"Not Found")</f>
        <v>MobileMaster NG</v>
      </c>
      <c r="M34" s="65">
        <f>IFERROR(INDEX(LOOKUP_TABLES!E:E,MATCH(B34,LOOKUP_TABLES!A:A,0)),"Not Found")</f>
        <v>12</v>
      </c>
      <c r="N34" s="61" t="str">
        <f>_xlfn.XLOOKUP(B:B,LOOKUP_TABLES!A:A,LOOKUP_TABLES!F:F)</f>
        <v>SKU-1001</v>
      </c>
    </row>
    <row r="35" spans="1:14" x14ac:dyDescent="0.3">
      <c r="A35" s="57" t="s">
        <v>158</v>
      </c>
      <c r="B35" s="58" t="s">
        <v>92</v>
      </c>
      <c r="C35" s="58">
        <v>1</v>
      </c>
      <c r="D35" s="59">
        <v>450000</v>
      </c>
      <c r="E35" s="58">
        <v>10</v>
      </c>
      <c r="F35" s="58" t="s">
        <v>131</v>
      </c>
      <c r="G35" s="59">
        <f t="shared" si="4"/>
        <v>450000</v>
      </c>
      <c r="H35" s="59">
        <f t="shared" si="5"/>
        <v>405000</v>
      </c>
      <c r="I35" s="59">
        <f t="shared" si="6"/>
        <v>30375</v>
      </c>
      <c r="J35" s="59">
        <f t="shared" si="7"/>
        <v>435375</v>
      </c>
      <c r="K35" s="58" t="str">
        <f>IFERROR(_xlfn.XLOOKUP(B:B,LOOKUP_TABLES!A:A,LOOKUP_TABLES!B:B),"Not Found")</f>
        <v>Electronics</v>
      </c>
      <c r="L35" s="60" t="str">
        <f>IFERROR(_xlfn.XLOOKUP(M:M,LOOKUP_TABLES!E:E,LOOKUP_TABLES!D:D),"Not Found")</f>
        <v>TechGlobal Ltd</v>
      </c>
      <c r="M35" s="60">
        <f>IFERROR(INDEX(LOOKUP_TABLES!E:E,MATCH(B35,LOOKUP_TABLES!A:A,0)),"Not Found")</f>
        <v>24</v>
      </c>
      <c r="N35" s="61" t="str">
        <f>_xlfn.XLOOKUP(B:B,LOOKUP_TABLES!A:A,LOOKUP_TABLES!F:F)</f>
        <v>SKU-1000</v>
      </c>
    </row>
    <row r="36" spans="1:14" x14ac:dyDescent="0.3">
      <c r="A36" s="62" t="s">
        <v>160</v>
      </c>
      <c r="B36" s="63" t="s">
        <v>41</v>
      </c>
      <c r="C36" s="63">
        <v>13</v>
      </c>
      <c r="D36" s="64">
        <v>35000</v>
      </c>
      <c r="E36" s="63">
        <v>0</v>
      </c>
      <c r="F36" s="63" t="s">
        <v>164</v>
      </c>
      <c r="G36" s="64">
        <f t="shared" si="4"/>
        <v>455000</v>
      </c>
      <c r="H36" s="64">
        <f t="shared" si="5"/>
        <v>455000</v>
      </c>
      <c r="I36" s="64">
        <f t="shared" si="6"/>
        <v>34125</v>
      </c>
      <c r="J36" s="64">
        <f t="shared" si="7"/>
        <v>489125</v>
      </c>
      <c r="K36" s="63" t="str">
        <f>IFERROR(_xlfn.XLOOKUP(B:B,LOOKUP_TABLES!A:A,LOOKUP_TABLES!B:B),"Not Found")</f>
        <v>Accessories</v>
      </c>
      <c r="L36" s="65" t="str">
        <f>IFERROR(_xlfn.XLOOKUP(M:M,LOOKUP_TABLES!E:E,LOOKUP_TABLES!D:D),"Not Found")</f>
        <v>SoundWave Co</v>
      </c>
      <c r="M36" s="65">
        <f>IFERROR(INDEX(LOOKUP_TABLES!E:E,MATCH(B36,LOOKUP_TABLES!A:A,0)),"Not Found")</f>
        <v>6</v>
      </c>
      <c r="N36" s="61" t="str">
        <f>_xlfn.XLOOKUP(B:B,LOOKUP_TABLES!A:A,LOOKUP_TABLES!F:F)</f>
        <v>SKU-1003</v>
      </c>
    </row>
    <row r="37" spans="1:14" x14ac:dyDescent="0.3">
      <c r="A37" s="57" t="s">
        <v>166</v>
      </c>
      <c r="B37" s="58" t="s">
        <v>92</v>
      </c>
      <c r="C37" s="58">
        <v>8</v>
      </c>
      <c r="D37" s="59">
        <v>450000</v>
      </c>
      <c r="E37" s="58">
        <v>20</v>
      </c>
      <c r="F37" s="58" t="s">
        <v>51</v>
      </c>
      <c r="G37" s="59">
        <f t="shared" si="4"/>
        <v>3600000</v>
      </c>
      <c r="H37" s="59">
        <f t="shared" si="5"/>
        <v>2880000</v>
      </c>
      <c r="I37" s="59">
        <f t="shared" si="6"/>
        <v>216000</v>
      </c>
      <c r="J37" s="59">
        <f t="shared" si="7"/>
        <v>3096000</v>
      </c>
      <c r="K37" s="58" t="str">
        <f>IFERROR(_xlfn.XLOOKUP(B:B,LOOKUP_TABLES!A:A,LOOKUP_TABLES!B:B),"Not Found")</f>
        <v>Electronics</v>
      </c>
      <c r="L37" s="60" t="str">
        <f>IFERROR(_xlfn.XLOOKUP(M:M,LOOKUP_TABLES!E:E,LOOKUP_TABLES!D:D),"Not Found")</f>
        <v>TechGlobal Ltd</v>
      </c>
      <c r="M37" s="60">
        <f>IFERROR(INDEX(LOOKUP_TABLES!E:E,MATCH(B37,LOOKUP_TABLES!A:A,0)),"Not Found")</f>
        <v>24</v>
      </c>
      <c r="N37" s="61" t="str">
        <f>_xlfn.XLOOKUP(B:B,LOOKUP_TABLES!A:A,LOOKUP_TABLES!F:F)</f>
        <v>SKU-1000</v>
      </c>
    </row>
    <row r="38" spans="1:14" x14ac:dyDescent="0.3">
      <c r="A38" s="62" t="s">
        <v>169</v>
      </c>
      <c r="B38" s="63" t="s">
        <v>41</v>
      </c>
      <c r="C38" s="63">
        <v>2</v>
      </c>
      <c r="D38" s="64">
        <v>35000</v>
      </c>
      <c r="E38" s="63">
        <v>5</v>
      </c>
      <c r="F38" s="63" t="s">
        <v>86</v>
      </c>
      <c r="G38" s="64">
        <f t="shared" si="4"/>
        <v>70000</v>
      </c>
      <c r="H38" s="64">
        <f t="shared" si="5"/>
        <v>66500</v>
      </c>
      <c r="I38" s="64">
        <f t="shared" si="6"/>
        <v>4987.5</v>
      </c>
      <c r="J38" s="64">
        <f t="shared" si="7"/>
        <v>71487.5</v>
      </c>
      <c r="K38" s="63" t="str">
        <f>IFERROR(_xlfn.XLOOKUP(B:B,LOOKUP_TABLES!A:A,LOOKUP_TABLES!B:B),"Not Found")</f>
        <v>Accessories</v>
      </c>
      <c r="L38" s="65" t="str">
        <f>IFERROR(_xlfn.XLOOKUP(M:M,LOOKUP_TABLES!E:E,LOOKUP_TABLES!D:D),"Not Found")</f>
        <v>SoundWave Co</v>
      </c>
      <c r="M38" s="65">
        <f>IFERROR(INDEX(LOOKUP_TABLES!E:E,MATCH(B38,LOOKUP_TABLES!A:A,0)),"Not Found")</f>
        <v>6</v>
      </c>
      <c r="N38" s="61" t="str">
        <f>_xlfn.XLOOKUP(B:B,LOOKUP_TABLES!A:A,LOOKUP_TABLES!F:F)</f>
        <v>SKU-1003</v>
      </c>
    </row>
    <row r="39" spans="1:14" x14ac:dyDescent="0.3">
      <c r="A39" s="57" t="s">
        <v>171</v>
      </c>
      <c r="B39" s="58" t="s">
        <v>61</v>
      </c>
      <c r="C39" s="58">
        <v>3</v>
      </c>
      <c r="D39" s="59">
        <v>22000</v>
      </c>
      <c r="E39" s="58">
        <v>15</v>
      </c>
      <c r="F39" s="58" t="s">
        <v>174</v>
      </c>
      <c r="G39" s="59">
        <f t="shared" si="4"/>
        <v>66000</v>
      </c>
      <c r="H39" s="59">
        <f t="shared" si="5"/>
        <v>56100</v>
      </c>
      <c r="I39" s="59">
        <f t="shared" si="6"/>
        <v>4207.5</v>
      </c>
      <c r="J39" s="59">
        <f t="shared" si="7"/>
        <v>60307.5</v>
      </c>
      <c r="K39" s="58" t="str">
        <f>IFERROR(_xlfn.XLOOKUP(B:B,LOOKUP_TABLES!A:A,LOOKUP_TABLES!B:B),"Not Found")</f>
        <v>Accessories</v>
      </c>
      <c r="L39" s="60" t="str">
        <f>IFERROR(_xlfn.XLOOKUP(M:M,LOOKUP_TABLES!E:E,LOOKUP_TABLES!D:D),"Not Found")</f>
        <v>MobileMaster NG</v>
      </c>
      <c r="M39" s="60">
        <f>IFERROR(INDEX(LOOKUP_TABLES!E:E,MATCH(B39,LOOKUP_TABLES!A:A,0)),"Not Found")</f>
        <v>12</v>
      </c>
      <c r="N39" s="61" t="str">
        <f>_xlfn.XLOOKUP(B:B,LOOKUP_TABLES!A:A,LOOKUP_TABLES!F:F)</f>
        <v>SKU-1007</v>
      </c>
    </row>
    <row r="40" spans="1:14" x14ac:dyDescent="0.3">
      <c r="A40" s="62" t="s">
        <v>176</v>
      </c>
      <c r="B40" s="63" t="s">
        <v>82</v>
      </c>
      <c r="C40" s="63">
        <v>7</v>
      </c>
      <c r="D40" s="64">
        <v>220000</v>
      </c>
      <c r="E40" s="63">
        <v>10</v>
      </c>
      <c r="F40" s="63" t="s">
        <v>44</v>
      </c>
      <c r="G40" s="64">
        <f t="shared" si="4"/>
        <v>1540000</v>
      </c>
      <c r="H40" s="64">
        <f t="shared" si="5"/>
        <v>1386000</v>
      </c>
      <c r="I40" s="64">
        <f t="shared" si="6"/>
        <v>103950</v>
      </c>
      <c r="J40" s="64">
        <f t="shared" si="7"/>
        <v>1489950</v>
      </c>
      <c r="K40" s="63" t="str">
        <f>IFERROR(_xlfn.XLOOKUP(B:B,LOOKUP_TABLES!A:A,LOOKUP_TABLES!B:B),"Not Found")</f>
        <v>Electronics</v>
      </c>
      <c r="L40" s="65" t="str">
        <f>IFERROR(_xlfn.XLOOKUP(M:M,LOOKUP_TABLES!E:E,LOOKUP_TABLES!D:D),"Not Found")</f>
        <v>MobileMaster NG</v>
      </c>
      <c r="M40" s="65">
        <f>IFERROR(INDEX(LOOKUP_TABLES!E:E,MATCH(B40,LOOKUP_TABLES!A:A,0)),"Not Found")</f>
        <v>12</v>
      </c>
      <c r="N40" s="61" t="str">
        <f>_xlfn.XLOOKUP(B:B,LOOKUP_TABLES!A:A,LOOKUP_TABLES!F:F)</f>
        <v>SKU-1001</v>
      </c>
    </row>
    <row r="41" spans="1:14" x14ac:dyDescent="0.3">
      <c r="A41" s="57" t="s">
        <v>178</v>
      </c>
      <c r="B41" s="58" t="s">
        <v>41</v>
      </c>
      <c r="C41" s="58">
        <v>5</v>
      </c>
      <c r="D41" s="59">
        <v>35000</v>
      </c>
      <c r="E41" s="58">
        <v>5</v>
      </c>
      <c r="F41" s="58" t="s">
        <v>51</v>
      </c>
      <c r="G41" s="59">
        <f t="shared" si="4"/>
        <v>175000</v>
      </c>
      <c r="H41" s="59">
        <f t="shared" si="5"/>
        <v>166250</v>
      </c>
      <c r="I41" s="59">
        <f t="shared" si="6"/>
        <v>12468.75</v>
      </c>
      <c r="J41" s="59">
        <f t="shared" si="7"/>
        <v>178718.75</v>
      </c>
      <c r="K41" s="58" t="str">
        <f>IFERROR(_xlfn.XLOOKUP(B:B,LOOKUP_TABLES!A:A,LOOKUP_TABLES!B:B),"Not Found")</f>
        <v>Accessories</v>
      </c>
      <c r="L41" s="60" t="str">
        <f>IFERROR(_xlfn.XLOOKUP(M:M,LOOKUP_TABLES!E:E,LOOKUP_TABLES!D:D),"Not Found")</f>
        <v>SoundWave Co</v>
      </c>
      <c r="M41" s="60">
        <f>IFERROR(INDEX(LOOKUP_TABLES!E:E,MATCH(B41,LOOKUP_TABLES!A:A,0)),"Not Found")</f>
        <v>6</v>
      </c>
      <c r="N41" s="61" t="str">
        <f>_xlfn.XLOOKUP(B:B,LOOKUP_TABLES!A:A,LOOKUP_TABLES!F:F)</f>
        <v>SKU-1003</v>
      </c>
    </row>
    <row r="42" spans="1:14" x14ac:dyDescent="0.3">
      <c r="A42" s="62" t="s">
        <v>181</v>
      </c>
      <c r="B42" s="63" t="s">
        <v>57</v>
      </c>
      <c r="C42" s="63">
        <v>17</v>
      </c>
      <c r="D42" s="64">
        <v>28000</v>
      </c>
      <c r="E42" s="63">
        <v>10</v>
      </c>
      <c r="F42" s="63" t="s">
        <v>51</v>
      </c>
      <c r="G42" s="64">
        <f t="shared" si="4"/>
        <v>476000</v>
      </c>
      <c r="H42" s="64">
        <f t="shared" si="5"/>
        <v>428400</v>
      </c>
      <c r="I42" s="64">
        <f t="shared" si="6"/>
        <v>32130</v>
      </c>
      <c r="J42" s="64">
        <f t="shared" si="7"/>
        <v>460530</v>
      </c>
      <c r="K42" s="63" t="str">
        <f>IFERROR(_xlfn.XLOOKUP(B:B,LOOKUP_TABLES!A:A,LOOKUP_TABLES!B:B),"Not Found")</f>
        <v>Accessories</v>
      </c>
      <c r="L42" s="65" t="str">
        <f>IFERROR(_xlfn.XLOOKUP(M:M,LOOKUP_TABLES!E:E,LOOKUP_TABLES!D:D),"Not Found")</f>
        <v>MobileMaster NG</v>
      </c>
      <c r="M42" s="65">
        <f>IFERROR(INDEX(LOOKUP_TABLES!E:E,MATCH(B42,LOOKUP_TABLES!A:A,0)),"Not Found")</f>
        <v>12</v>
      </c>
      <c r="N42" s="61" t="str">
        <f>_xlfn.XLOOKUP(B:B,LOOKUP_TABLES!A:A,LOOKUP_TABLES!F:F)</f>
        <v>SKU-1005</v>
      </c>
    </row>
    <row r="43" spans="1:14" x14ac:dyDescent="0.3">
      <c r="A43" s="57" t="s">
        <v>183</v>
      </c>
      <c r="B43" s="58" t="s">
        <v>92</v>
      </c>
      <c r="C43" s="58">
        <v>10</v>
      </c>
      <c r="D43" s="59">
        <v>450000</v>
      </c>
      <c r="E43" s="58">
        <v>20</v>
      </c>
      <c r="F43" s="58" t="s">
        <v>51</v>
      </c>
      <c r="G43" s="59">
        <f t="shared" si="4"/>
        <v>4500000</v>
      </c>
      <c r="H43" s="59">
        <f t="shared" si="5"/>
        <v>3600000</v>
      </c>
      <c r="I43" s="59">
        <f t="shared" si="6"/>
        <v>270000</v>
      </c>
      <c r="J43" s="59">
        <f t="shared" si="7"/>
        <v>3870000</v>
      </c>
      <c r="K43" s="58" t="str">
        <f>IFERROR(_xlfn.XLOOKUP(B:B,LOOKUP_TABLES!A:A,LOOKUP_TABLES!B:B),"Not Found")</f>
        <v>Electronics</v>
      </c>
      <c r="L43" s="60" t="str">
        <f>IFERROR(_xlfn.XLOOKUP(M:M,LOOKUP_TABLES!E:E,LOOKUP_TABLES!D:D),"Not Found")</f>
        <v>TechGlobal Ltd</v>
      </c>
      <c r="M43" s="60">
        <f>IFERROR(INDEX(LOOKUP_TABLES!E:E,MATCH(B43,LOOKUP_TABLES!A:A,0)),"Not Found")</f>
        <v>24</v>
      </c>
      <c r="N43" s="61" t="str">
        <f>_xlfn.XLOOKUP(B:B,LOOKUP_TABLES!A:A,LOOKUP_TABLES!F:F)</f>
        <v>SKU-1000</v>
      </c>
    </row>
    <row r="44" spans="1:14" x14ac:dyDescent="0.3">
      <c r="A44" s="62" t="s">
        <v>185</v>
      </c>
      <c r="B44" s="63" t="s">
        <v>76</v>
      </c>
      <c r="C44" s="63">
        <v>3</v>
      </c>
      <c r="D44" s="64">
        <v>180000</v>
      </c>
      <c r="E44" s="63">
        <v>10</v>
      </c>
      <c r="F44" s="63" t="s">
        <v>131</v>
      </c>
      <c r="G44" s="64">
        <f t="shared" si="4"/>
        <v>540000</v>
      </c>
      <c r="H44" s="64">
        <f t="shared" si="5"/>
        <v>486000</v>
      </c>
      <c r="I44" s="64">
        <f t="shared" si="6"/>
        <v>36450</v>
      </c>
      <c r="J44" s="64">
        <f t="shared" si="7"/>
        <v>522450</v>
      </c>
      <c r="K44" s="63" t="str">
        <f>IFERROR(_xlfn.XLOOKUP(B:B,LOOKUP_TABLES!A:A,LOOKUP_TABLES!B:B),"Not Found")</f>
        <v>Electronics</v>
      </c>
      <c r="L44" s="65" t="str">
        <f>IFERROR(_xlfn.XLOOKUP(M:M,LOOKUP_TABLES!E:E,LOOKUP_TABLES!D:D),"Not Found")</f>
        <v>MobileMaster NG</v>
      </c>
      <c r="M44" s="65">
        <f>IFERROR(INDEX(LOOKUP_TABLES!E:E,MATCH(B44,LOOKUP_TABLES!A:A,0)),"Not Found")</f>
        <v>12</v>
      </c>
      <c r="N44" s="61" t="str">
        <f>_xlfn.XLOOKUP(B:B,LOOKUP_TABLES!A:A,LOOKUP_TABLES!F:F)</f>
        <v>SKU-1002</v>
      </c>
    </row>
    <row r="45" spans="1:14" x14ac:dyDescent="0.3">
      <c r="A45" s="57" t="s">
        <v>187</v>
      </c>
      <c r="B45" s="58" t="s">
        <v>61</v>
      </c>
      <c r="C45" s="58">
        <v>10</v>
      </c>
      <c r="D45" s="59">
        <v>22000</v>
      </c>
      <c r="E45" s="58">
        <v>0</v>
      </c>
      <c r="F45" s="58" t="s">
        <v>51</v>
      </c>
      <c r="G45" s="59">
        <f t="shared" si="4"/>
        <v>220000</v>
      </c>
      <c r="H45" s="59">
        <f t="shared" si="5"/>
        <v>220000</v>
      </c>
      <c r="I45" s="59">
        <f t="shared" si="6"/>
        <v>16500</v>
      </c>
      <c r="J45" s="59">
        <f t="shared" si="7"/>
        <v>236500</v>
      </c>
      <c r="K45" s="58" t="str">
        <f>IFERROR(_xlfn.XLOOKUP(B:B,LOOKUP_TABLES!A:A,LOOKUP_TABLES!B:B),"Not Found")</f>
        <v>Accessories</v>
      </c>
      <c r="L45" s="60" t="str">
        <f>IFERROR(_xlfn.XLOOKUP(M:M,LOOKUP_TABLES!E:E,LOOKUP_TABLES!D:D),"Not Found")</f>
        <v>MobileMaster NG</v>
      </c>
      <c r="M45" s="60">
        <f>IFERROR(INDEX(LOOKUP_TABLES!E:E,MATCH(B45,LOOKUP_TABLES!A:A,0)),"Not Found")</f>
        <v>12</v>
      </c>
      <c r="N45" s="61" t="str">
        <f>_xlfn.XLOOKUP(B:B,LOOKUP_TABLES!A:A,LOOKUP_TABLES!F:F)</f>
        <v>SKU-1007</v>
      </c>
    </row>
    <row r="46" spans="1:14" x14ac:dyDescent="0.3">
      <c r="A46" s="62" t="s">
        <v>189</v>
      </c>
      <c r="B46" s="63" t="s">
        <v>50</v>
      </c>
      <c r="C46" s="63">
        <v>18</v>
      </c>
      <c r="D46" s="64">
        <v>18000</v>
      </c>
      <c r="E46" s="63">
        <v>0</v>
      </c>
      <c r="F46" s="63" t="s">
        <v>51</v>
      </c>
      <c r="G46" s="64">
        <f t="shared" si="4"/>
        <v>324000</v>
      </c>
      <c r="H46" s="64">
        <f t="shared" si="5"/>
        <v>324000</v>
      </c>
      <c r="I46" s="64">
        <f t="shared" si="6"/>
        <v>24300</v>
      </c>
      <c r="J46" s="64">
        <f t="shared" si="7"/>
        <v>348300</v>
      </c>
      <c r="K46" s="63" t="str">
        <f>IFERROR(_xlfn.XLOOKUP(B:B,LOOKUP_TABLES!A:A,LOOKUP_TABLES!B:B),"Not Found")</f>
        <v>Accessories</v>
      </c>
      <c r="L46" s="65" t="str">
        <f>IFERROR(_xlfn.XLOOKUP(M:M,LOOKUP_TABLES!E:E,LOOKUP_TABLES!D:D),"Not Found")</f>
        <v>MobileMaster NG</v>
      </c>
      <c r="M46" s="65">
        <f>IFERROR(INDEX(LOOKUP_TABLES!E:E,MATCH(B46,LOOKUP_TABLES!A:A,0)),"Not Found")</f>
        <v>12</v>
      </c>
      <c r="N46" s="61" t="str">
        <f>_xlfn.XLOOKUP(B:B,LOOKUP_TABLES!A:A,LOOKUP_TABLES!F:F)</f>
        <v>SKU-1006</v>
      </c>
    </row>
    <row r="47" spans="1:14" x14ac:dyDescent="0.3">
      <c r="A47" s="57" t="s">
        <v>191</v>
      </c>
      <c r="B47" s="58" t="s">
        <v>76</v>
      </c>
      <c r="C47" s="58">
        <v>8</v>
      </c>
      <c r="D47" s="59">
        <v>180000</v>
      </c>
      <c r="E47" s="58">
        <v>20</v>
      </c>
      <c r="F47" s="58" t="s">
        <v>86</v>
      </c>
      <c r="G47" s="59">
        <f t="shared" si="4"/>
        <v>1440000</v>
      </c>
      <c r="H47" s="59">
        <f t="shared" si="5"/>
        <v>1152000</v>
      </c>
      <c r="I47" s="59">
        <f t="shared" si="6"/>
        <v>86400</v>
      </c>
      <c r="J47" s="59">
        <f t="shared" si="7"/>
        <v>1238400</v>
      </c>
      <c r="K47" s="58" t="str">
        <f>IFERROR(_xlfn.XLOOKUP(B:B,LOOKUP_TABLES!A:A,LOOKUP_TABLES!B:B),"Not Found")</f>
        <v>Electronics</v>
      </c>
      <c r="L47" s="60" t="str">
        <f>IFERROR(_xlfn.XLOOKUP(M:M,LOOKUP_TABLES!E:E,LOOKUP_TABLES!D:D),"Not Found")</f>
        <v>MobileMaster NG</v>
      </c>
      <c r="M47" s="60">
        <f>IFERROR(INDEX(LOOKUP_TABLES!E:E,MATCH(B47,LOOKUP_TABLES!A:A,0)),"Not Found")</f>
        <v>12</v>
      </c>
      <c r="N47" s="61" t="str">
        <f>_xlfn.XLOOKUP(B:B,LOOKUP_TABLES!A:A,LOOKUP_TABLES!F:F)</f>
        <v>SKU-1002</v>
      </c>
    </row>
    <row r="48" spans="1:14" x14ac:dyDescent="0.3">
      <c r="A48" s="62" t="s">
        <v>193</v>
      </c>
      <c r="B48" s="63" t="s">
        <v>99</v>
      </c>
      <c r="C48" s="63">
        <v>9</v>
      </c>
      <c r="D48" s="64">
        <v>95000</v>
      </c>
      <c r="E48" s="63">
        <v>10</v>
      </c>
      <c r="F48" s="63" t="s">
        <v>174</v>
      </c>
      <c r="G48" s="64">
        <f t="shared" si="4"/>
        <v>855000</v>
      </c>
      <c r="H48" s="64">
        <f t="shared" si="5"/>
        <v>769500</v>
      </c>
      <c r="I48" s="64">
        <f t="shared" si="6"/>
        <v>57712.5</v>
      </c>
      <c r="J48" s="64">
        <f t="shared" si="7"/>
        <v>827212.5</v>
      </c>
      <c r="K48" s="63" t="str">
        <f>IFERROR(_xlfn.XLOOKUP(B:B,LOOKUP_TABLES!A:A,LOOKUP_TABLES!B:B),"Not Found")</f>
        <v>Electronics</v>
      </c>
      <c r="L48" s="65" t="str">
        <f>IFERROR(_xlfn.XLOOKUP(M:M,LOOKUP_TABLES!E:E,LOOKUP_TABLES!D:D),"Not Found")</f>
        <v>TechGlobal Ltd</v>
      </c>
      <c r="M48" s="65">
        <f>IFERROR(INDEX(LOOKUP_TABLES!E:E,MATCH(B48,LOOKUP_TABLES!A:A,0)),"Not Found")</f>
        <v>24</v>
      </c>
      <c r="N48" s="61" t="str">
        <f>_xlfn.XLOOKUP(B:B,LOOKUP_TABLES!A:A,LOOKUP_TABLES!F:F)</f>
        <v>SKU-1004</v>
      </c>
    </row>
    <row r="49" spans="1:14" x14ac:dyDescent="0.3">
      <c r="A49" s="57" t="s">
        <v>198</v>
      </c>
      <c r="B49" s="58" t="s">
        <v>57</v>
      </c>
      <c r="C49" s="58">
        <v>5</v>
      </c>
      <c r="D49" s="59">
        <v>28000</v>
      </c>
      <c r="E49" s="58">
        <v>0</v>
      </c>
      <c r="F49" s="58" t="s">
        <v>51</v>
      </c>
      <c r="G49" s="59">
        <f t="shared" si="4"/>
        <v>140000</v>
      </c>
      <c r="H49" s="59">
        <f t="shared" si="5"/>
        <v>140000</v>
      </c>
      <c r="I49" s="59">
        <f t="shared" si="6"/>
        <v>10500</v>
      </c>
      <c r="J49" s="59">
        <f t="shared" si="7"/>
        <v>150500</v>
      </c>
      <c r="K49" s="58" t="str">
        <f>IFERROR(_xlfn.XLOOKUP(B:B,LOOKUP_TABLES!A:A,LOOKUP_TABLES!B:B),"Not Found")</f>
        <v>Accessories</v>
      </c>
      <c r="L49" s="60" t="str">
        <f>IFERROR(_xlfn.XLOOKUP(M:M,LOOKUP_TABLES!E:E,LOOKUP_TABLES!D:D),"Not Found")</f>
        <v>MobileMaster NG</v>
      </c>
      <c r="M49" s="60">
        <f>IFERROR(INDEX(LOOKUP_TABLES!E:E,MATCH(B49,LOOKUP_TABLES!A:A,0)),"Not Found")</f>
        <v>12</v>
      </c>
      <c r="N49" s="61" t="str">
        <f>_xlfn.XLOOKUP(B:B,LOOKUP_TABLES!A:A,LOOKUP_TABLES!F:F)</f>
        <v>SKU-1005</v>
      </c>
    </row>
    <row r="50" spans="1:14" x14ac:dyDescent="0.3">
      <c r="A50" s="62" t="s">
        <v>200</v>
      </c>
      <c r="B50" s="63" t="s">
        <v>92</v>
      </c>
      <c r="C50" s="63">
        <v>14</v>
      </c>
      <c r="D50" s="64">
        <v>450000</v>
      </c>
      <c r="E50" s="63">
        <v>0</v>
      </c>
      <c r="F50" s="63" t="s">
        <v>86</v>
      </c>
      <c r="G50" s="64">
        <f t="shared" si="4"/>
        <v>6300000</v>
      </c>
      <c r="H50" s="64">
        <f t="shared" si="5"/>
        <v>6300000</v>
      </c>
      <c r="I50" s="64">
        <f t="shared" si="6"/>
        <v>472500</v>
      </c>
      <c r="J50" s="64">
        <f t="shared" si="7"/>
        <v>6772500</v>
      </c>
      <c r="K50" s="63" t="str">
        <f>IFERROR(_xlfn.XLOOKUP(B:B,LOOKUP_TABLES!A:A,LOOKUP_TABLES!B:B),"Not Found")</f>
        <v>Electronics</v>
      </c>
      <c r="L50" s="65" t="str">
        <f>IFERROR(_xlfn.XLOOKUP(M:M,LOOKUP_TABLES!E:E,LOOKUP_TABLES!D:D),"Not Found")</f>
        <v>TechGlobal Ltd</v>
      </c>
      <c r="M50" s="65">
        <f>IFERROR(INDEX(LOOKUP_TABLES!E:E,MATCH(B50,LOOKUP_TABLES!A:A,0)),"Not Found")</f>
        <v>24</v>
      </c>
      <c r="N50" s="61" t="str">
        <f>_xlfn.XLOOKUP(B:B,LOOKUP_TABLES!A:A,LOOKUP_TABLES!F:F)</f>
        <v>SKU-1000</v>
      </c>
    </row>
    <row r="52" spans="1:14" x14ac:dyDescent="0.3">
      <c r="A52" s="22" t="s">
        <v>980</v>
      </c>
      <c r="C52" s="34">
        <f>SUM(C2:C50)</f>
        <v>511</v>
      </c>
      <c r="D52" s="36"/>
      <c r="G52" s="36">
        <f>SUM(G2:G50)</f>
        <v>87166000</v>
      </c>
      <c r="H52" s="36">
        <f>SUM(H2:H50)</f>
        <v>79038300</v>
      </c>
      <c r="I52" s="36">
        <f>SUM(I2:I50)</f>
        <v>5927872.5</v>
      </c>
      <c r="J52" s="36">
        <f>SUM(J2:J50)</f>
        <v>84966172.5</v>
      </c>
    </row>
  </sheetData>
  <conditionalFormatting sqref="J2:J50">
    <cfRule type="cellIs" dxfId="330" priority="1" operator="lessThan">
      <formula>1000000</formula>
    </cfRule>
    <cfRule type="cellIs" dxfId="329" priority="2" operator="between">
      <formula>1000000</formula>
      <formula>5000000</formula>
    </cfRule>
    <cfRule type="cellIs" dxfId="328" priority="3" operator="greaterThan">
      <formula>5000000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6"/>
  <sheetViews>
    <sheetView topLeftCell="A10" zoomScaleNormal="100" workbookViewId="0">
      <selection activeCell="I34" sqref="I34"/>
    </sheetView>
  </sheetViews>
  <sheetFormatPr defaultColWidth="8.6640625" defaultRowHeight="14.4" x14ac:dyDescent="0.3"/>
  <cols>
    <col min="1" max="1" width="5" customWidth="1"/>
    <col min="2" max="2" width="117.21875" bestFit="1" customWidth="1"/>
  </cols>
  <sheetData>
    <row r="1" spans="2:2" x14ac:dyDescent="0.3">
      <c r="B1" s="73" t="s">
        <v>0</v>
      </c>
    </row>
    <row r="2" spans="2:2" x14ac:dyDescent="0.3">
      <c r="B2" s="73"/>
    </row>
    <row r="3" spans="2:2" x14ac:dyDescent="0.3">
      <c r="B3" s="1" t="s">
        <v>1</v>
      </c>
    </row>
    <row r="4" spans="2:2" ht="60" customHeight="1" x14ac:dyDescent="0.3">
      <c r="B4" s="2" t="s">
        <v>2</v>
      </c>
    </row>
    <row r="6" spans="2:2" ht="19.5" customHeight="1" x14ac:dyDescent="0.3">
      <c r="B6" s="3" t="s">
        <v>3</v>
      </c>
    </row>
    <row r="7" spans="2:2" ht="79.5" customHeight="1" x14ac:dyDescent="0.3">
      <c r="B7" s="4" t="s">
        <v>4</v>
      </c>
    </row>
    <row r="9" spans="2:2" ht="19.5" customHeight="1" x14ac:dyDescent="0.3">
      <c r="B9" s="3" t="s">
        <v>5</v>
      </c>
    </row>
    <row r="10" spans="2:2" ht="132" customHeight="1" x14ac:dyDescent="0.3">
      <c r="B10" s="4" t="s">
        <v>6</v>
      </c>
    </row>
    <row r="12" spans="2:2" ht="19.5" customHeight="1" x14ac:dyDescent="0.3">
      <c r="B12" s="3" t="s">
        <v>7</v>
      </c>
    </row>
    <row r="13" spans="2:2" ht="85.5" customHeight="1" x14ac:dyDescent="0.3">
      <c r="B13" s="4" t="s">
        <v>8</v>
      </c>
    </row>
    <row r="15" spans="2:2" ht="19.5" customHeight="1" x14ac:dyDescent="0.3">
      <c r="B15" s="3" t="s">
        <v>9</v>
      </c>
    </row>
    <row r="16" spans="2:2" ht="75" customHeight="1" x14ac:dyDescent="0.3">
      <c r="B16" s="4" t="s">
        <v>10</v>
      </c>
    </row>
    <row r="18" spans="2:2" ht="19.5" customHeight="1" x14ac:dyDescent="0.3">
      <c r="B18" s="3" t="s">
        <v>11</v>
      </c>
    </row>
    <row r="19" spans="2:2" ht="84" customHeight="1" x14ac:dyDescent="0.3">
      <c r="B19" s="4" t="s">
        <v>12</v>
      </c>
    </row>
    <row r="21" spans="2:2" ht="19.5" customHeight="1" x14ac:dyDescent="0.3">
      <c r="B21" s="3" t="s">
        <v>13</v>
      </c>
    </row>
    <row r="22" spans="2:2" ht="154.5" customHeight="1" x14ac:dyDescent="0.3">
      <c r="B22" s="4" t="s">
        <v>14</v>
      </c>
    </row>
    <row r="24" spans="2:2" ht="19.5" customHeight="1" x14ac:dyDescent="0.3">
      <c r="B24" s="3" t="s">
        <v>15</v>
      </c>
    </row>
    <row r="25" spans="2:2" ht="120.75" customHeight="1" x14ac:dyDescent="0.3">
      <c r="B25" s="4" t="s">
        <v>16</v>
      </c>
    </row>
    <row r="27" spans="2:2" ht="19.5" customHeight="1" x14ac:dyDescent="0.3">
      <c r="B27" s="3" t="s">
        <v>17</v>
      </c>
    </row>
    <row r="28" spans="2:2" ht="106.5" customHeight="1" x14ac:dyDescent="0.3">
      <c r="B28" s="4" t="s">
        <v>18</v>
      </c>
    </row>
    <row r="30" spans="2:2" ht="19.5" customHeight="1" x14ac:dyDescent="0.3">
      <c r="B30" s="3" t="s">
        <v>19</v>
      </c>
    </row>
    <row r="31" spans="2:2" ht="165" customHeight="1" x14ac:dyDescent="0.3">
      <c r="B31" s="4" t="s">
        <v>20</v>
      </c>
    </row>
    <row r="33" spans="2:2" ht="19.5" customHeight="1" x14ac:dyDescent="0.3">
      <c r="B33" s="3" t="s">
        <v>21</v>
      </c>
    </row>
    <row r="34" spans="2:2" ht="169.5" customHeight="1" x14ac:dyDescent="0.3">
      <c r="B34" s="4" t="s">
        <v>22</v>
      </c>
    </row>
    <row r="36" spans="2:2" ht="39.75" customHeight="1" x14ac:dyDescent="0.3">
      <c r="B36" s="5" t="s">
        <v>23</v>
      </c>
    </row>
  </sheetData>
  <mergeCells count="1">
    <mergeCell ref="B1:B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zoomScaleNormal="100" workbookViewId="0">
      <selection activeCell="I17" sqref="I17"/>
    </sheetView>
  </sheetViews>
  <sheetFormatPr defaultColWidth="8.6640625" defaultRowHeight="14.4" x14ac:dyDescent="0.3"/>
  <cols>
    <col min="1" max="6" width="18" customWidth="1"/>
    <col min="7" max="7" width="3" customWidth="1"/>
    <col min="8" max="10" width="18" customWidth="1"/>
  </cols>
  <sheetData>
    <row r="1" spans="1:10" x14ac:dyDescent="0.3">
      <c r="A1" s="13" t="s">
        <v>29</v>
      </c>
      <c r="B1" s="13" t="s">
        <v>30</v>
      </c>
      <c r="C1" s="13" t="s">
        <v>956</v>
      </c>
      <c r="D1" s="13" t="s">
        <v>957</v>
      </c>
      <c r="E1" s="13" t="s">
        <v>958</v>
      </c>
      <c r="F1" s="13" t="s">
        <v>959</v>
      </c>
      <c r="H1" s="14" t="s">
        <v>27</v>
      </c>
      <c r="I1" s="14" t="s">
        <v>960</v>
      </c>
      <c r="J1" s="14" t="s">
        <v>28</v>
      </c>
    </row>
    <row r="2" spans="1:10" x14ac:dyDescent="0.3">
      <c r="A2" s="15" t="s">
        <v>92</v>
      </c>
      <c r="B2" s="15" t="s">
        <v>77</v>
      </c>
      <c r="C2" s="16">
        <v>450000</v>
      </c>
      <c r="D2" s="15" t="s">
        <v>961</v>
      </c>
      <c r="E2" s="15">
        <v>24</v>
      </c>
      <c r="F2" s="15" t="s">
        <v>962</v>
      </c>
      <c r="H2" s="15" t="s">
        <v>55</v>
      </c>
      <c r="I2" s="16">
        <v>11000000</v>
      </c>
      <c r="J2" s="15" t="s">
        <v>49</v>
      </c>
    </row>
    <row r="3" spans="1:10" x14ac:dyDescent="0.3">
      <c r="A3" s="15" t="s">
        <v>82</v>
      </c>
      <c r="B3" s="15" t="s">
        <v>77</v>
      </c>
      <c r="C3" s="16">
        <v>220000</v>
      </c>
      <c r="D3" s="15" t="s">
        <v>963</v>
      </c>
      <c r="E3" s="15">
        <v>12</v>
      </c>
      <c r="F3" s="15" t="s">
        <v>964</v>
      </c>
      <c r="H3" s="15" t="s">
        <v>141</v>
      </c>
      <c r="I3" s="16">
        <v>14000000</v>
      </c>
      <c r="J3" s="15" t="s">
        <v>70</v>
      </c>
    </row>
    <row r="4" spans="1:10" x14ac:dyDescent="0.3">
      <c r="A4" s="15" t="s">
        <v>76</v>
      </c>
      <c r="B4" s="15" t="s">
        <v>77</v>
      </c>
      <c r="C4" s="16">
        <v>180000</v>
      </c>
      <c r="D4" s="15" t="s">
        <v>961</v>
      </c>
      <c r="E4" s="15">
        <v>12</v>
      </c>
      <c r="F4" s="15" t="s">
        <v>965</v>
      </c>
      <c r="H4" s="15" t="s">
        <v>65</v>
      </c>
      <c r="I4" s="16">
        <v>24000000</v>
      </c>
      <c r="J4" s="15" t="s">
        <v>40</v>
      </c>
    </row>
    <row r="5" spans="1:10" x14ac:dyDescent="0.3">
      <c r="A5" s="15" t="s">
        <v>41</v>
      </c>
      <c r="B5" s="15" t="s">
        <v>42</v>
      </c>
      <c r="C5" s="16">
        <v>35000</v>
      </c>
      <c r="D5" s="15" t="s">
        <v>966</v>
      </c>
      <c r="E5" s="15">
        <v>6</v>
      </c>
      <c r="F5" s="15" t="s">
        <v>967</v>
      </c>
      <c r="H5" s="15" t="s">
        <v>75</v>
      </c>
      <c r="I5" s="16">
        <v>20000000</v>
      </c>
      <c r="J5" s="15" t="s">
        <v>56</v>
      </c>
    </row>
    <row r="6" spans="1:10" x14ac:dyDescent="0.3">
      <c r="A6" s="15" t="s">
        <v>99</v>
      </c>
      <c r="B6" s="15" t="s">
        <v>77</v>
      </c>
      <c r="C6" s="16">
        <v>95000</v>
      </c>
      <c r="D6" s="15" t="s">
        <v>968</v>
      </c>
      <c r="E6" s="15">
        <v>24</v>
      </c>
      <c r="F6" s="15" t="s">
        <v>969</v>
      </c>
      <c r="H6" s="15" t="s">
        <v>81</v>
      </c>
      <c r="I6" s="16">
        <v>18000000</v>
      </c>
      <c r="J6" s="15" t="s">
        <v>49</v>
      </c>
    </row>
    <row r="7" spans="1:10" x14ac:dyDescent="0.3">
      <c r="A7" s="15" t="s">
        <v>57</v>
      </c>
      <c r="B7" s="15" t="s">
        <v>42</v>
      </c>
      <c r="C7" s="16">
        <v>28000</v>
      </c>
      <c r="D7" s="15" t="s">
        <v>970</v>
      </c>
      <c r="E7" s="15">
        <v>12</v>
      </c>
      <c r="F7" s="15" t="s">
        <v>971</v>
      </c>
      <c r="H7" s="15" t="s">
        <v>48</v>
      </c>
      <c r="I7" s="16">
        <v>25000000</v>
      </c>
      <c r="J7" s="15" t="s">
        <v>70</v>
      </c>
    </row>
    <row r="8" spans="1:10" x14ac:dyDescent="0.3">
      <c r="A8" s="15" t="s">
        <v>50</v>
      </c>
      <c r="B8" s="15" t="s">
        <v>42</v>
      </c>
      <c r="C8" s="16">
        <v>18000</v>
      </c>
      <c r="D8" s="15" t="s">
        <v>970</v>
      </c>
      <c r="E8" s="15">
        <v>12</v>
      </c>
      <c r="F8" s="15" t="s">
        <v>972</v>
      </c>
      <c r="H8" s="15" t="s">
        <v>109</v>
      </c>
      <c r="I8" s="16">
        <v>9000000</v>
      </c>
      <c r="J8" s="15" t="s">
        <v>40</v>
      </c>
    </row>
    <row r="9" spans="1:10" x14ac:dyDescent="0.3">
      <c r="A9" s="15" t="s">
        <v>61</v>
      </c>
      <c r="B9" s="15" t="s">
        <v>42</v>
      </c>
      <c r="C9" s="16">
        <v>22000</v>
      </c>
      <c r="D9" s="15" t="s">
        <v>966</v>
      </c>
      <c r="E9" s="15">
        <v>12</v>
      </c>
      <c r="F9" s="15" t="s">
        <v>973</v>
      </c>
      <c r="H9" s="15" t="s">
        <v>154</v>
      </c>
      <c r="I9" s="16">
        <v>13000000</v>
      </c>
      <c r="J9" s="15" t="s">
        <v>56</v>
      </c>
    </row>
    <row r="10" spans="1:10" x14ac:dyDescent="0.3">
      <c r="H10" s="15" t="s">
        <v>118</v>
      </c>
      <c r="I10" s="16">
        <v>20000000</v>
      </c>
      <c r="J10" s="15" t="s">
        <v>49</v>
      </c>
    </row>
    <row r="11" spans="1:10" x14ac:dyDescent="0.3">
      <c r="H11" s="15" t="s">
        <v>39</v>
      </c>
      <c r="I11" s="16">
        <v>8000000</v>
      </c>
      <c r="J11" s="15" t="s">
        <v>70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51"/>
  <sheetViews>
    <sheetView zoomScaleNormal="100" workbookViewId="0">
      <pane ySplit="1" topLeftCell="A48" activePane="bottomLeft" state="frozen"/>
      <selection pane="bottomLeft" activeCell="D11" sqref="D11"/>
    </sheetView>
  </sheetViews>
  <sheetFormatPr defaultColWidth="8.6640625" defaultRowHeight="14.4" x14ac:dyDescent="0.3"/>
  <cols>
    <col min="1" max="2" width="14" customWidth="1"/>
    <col min="3" max="3" width="12" customWidth="1"/>
    <col min="4" max="4" width="18" customWidth="1"/>
    <col min="5" max="5" width="10" customWidth="1"/>
    <col min="6" max="6" width="16" customWidth="1"/>
    <col min="7" max="7" width="14" customWidth="1"/>
    <col min="8" max="8" width="12" customWidth="1"/>
    <col min="9" max="9" width="12.88671875" bestFit="1" customWidth="1"/>
    <col min="10" max="10" width="16" customWidth="1"/>
    <col min="11" max="12" width="12" customWidth="1"/>
    <col min="13" max="13" width="32.109375" bestFit="1" customWidth="1"/>
  </cols>
  <sheetData>
    <row r="1" spans="1:13" ht="30" customHeight="1" x14ac:dyDescent="0.3">
      <c r="A1" s="6" t="s">
        <v>24</v>
      </c>
      <c r="B1" s="6" t="s">
        <v>25</v>
      </c>
      <c r="C1" s="6" t="s">
        <v>26</v>
      </c>
      <c r="D1" s="6" t="s">
        <v>27</v>
      </c>
      <c r="E1" s="6" t="s">
        <v>28</v>
      </c>
      <c r="F1" s="6" t="s">
        <v>29</v>
      </c>
      <c r="G1" s="6" t="s">
        <v>30</v>
      </c>
      <c r="H1" s="6" t="s">
        <v>31</v>
      </c>
      <c r="I1" s="6" t="s">
        <v>32</v>
      </c>
      <c r="J1" s="6" t="s">
        <v>33</v>
      </c>
      <c r="K1" s="6" t="s">
        <v>34</v>
      </c>
      <c r="L1" s="6" t="s">
        <v>35</v>
      </c>
      <c r="M1" s="6" t="s">
        <v>36</v>
      </c>
    </row>
    <row r="2" spans="1:13" x14ac:dyDescent="0.3">
      <c r="A2" s="7" t="s">
        <v>37</v>
      </c>
      <c r="B2" s="8">
        <v>45434</v>
      </c>
      <c r="C2" s="7" t="s">
        <v>38</v>
      </c>
      <c r="D2" s="7" t="s">
        <v>39</v>
      </c>
      <c r="E2" s="7" t="s">
        <v>40</v>
      </c>
      <c r="F2" s="7" t="s">
        <v>41</v>
      </c>
      <c r="G2" s="7" t="s">
        <v>42</v>
      </c>
      <c r="H2" s="7" t="s">
        <v>43</v>
      </c>
      <c r="I2" s="7">
        <v>7</v>
      </c>
      <c r="J2" s="9">
        <v>35000</v>
      </c>
      <c r="K2" s="7">
        <v>10</v>
      </c>
      <c r="L2" s="7" t="s">
        <v>44</v>
      </c>
      <c r="M2" s="7" t="s">
        <v>45</v>
      </c>
    </row>
    <row r="3" spans="1:13" x14ac:dyDescent="0.3">
      <c r="A3" s="10" t="s">
        <v>46</v>
      </c>
      <c r="B3" s="11">
        <v>45464</v>
      </c>
      <c r="C3" s="10" t="s">
        <v>47</v>
      </c>
      <c r="D3" s="10" t="s">
        <v>48</v>
      </c>
      <c r="E3" s="10" t="s">
        <v>49</v>
      </c>
      <c r="F3" s="10" t="s">
        <v>50</v>
      </c>
      <c r="G3" s="10" t="s">
        <v>42</v>
      </c>
      <c r="H3" s="10" t="s">
        <v>43</v>
      </c>
      <c r="I3" s="10">
        <v>4</v>
      </c>
      <c r="J3" s="12">
        <v>18000</v>
      </c>
      <c r="K3" s="10">
        <v>0</v>
      </c>
      <c r="L3" s="10" t="s">
        <v>51</v>
      </c>
      <c r="M3" s="10" t="s">
        <v>52</v>
      </c>
    </row>
    <row r="4" spans="1:13" x14ac:dyDescent="0.3">
      <c r="A4" s="7" t="s">
        <v>53</v>
      </c>
      <c r="B4" s="8">
        <v>45513</v>
      </c>
      <c r="C4" s="7" t="s">
        <v>54</v>
      </c>
      <c r="D4" s="7" t="s">
        <v>55</v>
      </c>
      <c r="E4" s="7" t="s">
        <v>56</v>
      </c>
      <c r="F4" s="7" t="s">
        <v>57</v>
      </c>
      <c r="G4" s="7" t="s">
        <v>42</v>
      </c>
      <c r="H4" s="7" t="s">
        <v>43</v>
      </c>
      <c r="I4" s="7">
        <v>2</v>
      </c>
      <c r="J4" s="9">
        <v>28000</v>
      </c>
      <c r="K4" s="7">
        <v>15</v>
      </c>
      <c r="L4" s="7" t="s">
        <v>44</v>
      </c>
      <c r="M4" s="7" t="s">
        <v>58</v>
      </c>
    </row>
    <row r="5" spans="1:13" x14ac:dyDescent="0.3">
      <c r="A5" s="10" t="s">
        <v>59</v>
      </c>
      <c r="B5" s="11">
        <v>45573</v>
      </c>
      <c r="C5" s="10" t="s">
        <v>60</v>
      </c>
      <c r="D5" s="10" t="s">
        <v>48</v>
      </c>
      <c r="E5" s="10" t="s">
        <v>56</v>
      </c>
      <c r="F5" s="10" t="s">
        <v>61</v>
      </c>
      <c r="G5" s="10" t="s">
        <v>42</v>
      </c>
      <c r="H5" s="10" t="s">
        <v>43</v>
      </c>
      <c r="I5" s="10">
        <v>1</v>
      </c>
      <c r="J5" s="12">
        <v>22000</v>
      </c>
      <c r="K5" s="10">
        <v>0</v>
      </c>
      <c r="L5" s="10" t="s">
        <v>51</v>
      </c>
      <c r="M5" s="10" t="s">
        <v>62</v>
      </c>
    </row>
    <row r="6" spans="1:13" x14ac:dyDescent="0.3">
      <c r="A6" s="7" t="s">
        <v>63</v>
      </c>
      <c r="B6" s="8">
        <v>45492</v>
      </c>
      <c r="C6" s="7" t="s">
        <v>64</v>
      </c>
      <c r="D6" s="7" t="s">
        <v>65</v>
      </c>
      <c r="E6" s="7" t="s">
        <v>49</v>
      </c>
      <c r="F6" s="7" t="s">
        <v>57</v>
      </c>
      <c r="G6" s="7" t="s">
        <v>42</v>
      </c>
      <c r="H6" s="7" t="s">
        <v>66</v>
      </c>
      <c r="I6" s="7">
        <v>6</v>
      </c>
      <c r="J6" s="9">
        <v>28000</v>
      </c>
      <c r="K6" s="7">
        <v>0</v>
      </c>
      <c r="L6" s="7" t="s">
        <v>51</v>
      </c>
      <c r="M6" s="7" t="s">
        <v>67</v>
      </c>
    </row>
    <row r="7" spans="1:13" x14ac:dyDescent="0.3">
      <c r="A7" s="10" t="s">
        <v>68</v>
      </c>
      <c r="B7" s="11">
        <v>45604</v>
      </c>
      <c r="C7" s="10" t="s">
        <v>69</v>
      </c>
      <c r="D7" s="10" t="s">
        <v>48</v>
      </c>
      <c r="E7" s="10" t="s">
        <v>70</v>
      </c>
      <c r="F7" s="10" t="s">
        <v>50</v>
      </c>
      <c r="G7" s="10" t="s">
        <v>42</v>
      </c>
      <c r="H7" s="10" t="s">
        <v>71</v>
      </c>
      <c r="I7" s="10">
        <v>4</v>
      </c>
      <c r="J7" s="12">
        <v>18000</v>
      </c>
      <c r="K7" s="10">
        <v>20</v>
      </c>
      <c r="L7" s="10" t="s">
        <v>51</v>
      </c>
      <c r="M7" s="10" t="s">
        <v>72</v>
      </c>
    </row>
    <row r="8" spans="1:13" x14ac:dyDescent="0.3">
      <c r="A8" s="7" t="s">
        <v>73</v>
      </c>
      <c r="B8" s="8">
        <v>45488</v>
      </c>
      <c r="C8" s="7" t="s">
        <v>74</v>
      </c>
      <c r="D8" s="7" t="s">
        <v>75</v>
      </c>
      <c r="E8" s="7" t="s">
        <v>49</v>
      </c>
      <c r="F8" s="7" t="s">
        <v>76</v>
      </c>
      <c r="G8" s="7" t="s">
        <v>77</v>
      </c>
      <c r="H8" s="7" t="s">
        <v>66</v>
      </c>
      <c r="I8" s="7">
        <v>11</v>
      </c>
      <c r="J8" s="9">
        <v>180000</v>
      </c>
      <c r="K8" s="7">
        <v>10</v>
      </c>
      <c r="L8" s="7" t="s">
        <v>51</v>
      </c>
      <c r="M8" s="7" t="s">
        <v>78</v>
      </c>
    </row>
    <row r="9" spans="1:13" x14ac:dyDescent="0.3">
      <c r="A9" s="10" t="s">
        <v>79</v>
      </c>
      <c r="B9" s="11">
        <v>45547</v>
      </c>
      <c r="C9" s="10" t="s">
        <v>80</v>
      </c>
      <c r="D9" s="10" t="s">
        <v>81</v>
      </c>
      <c r="E9" s="10" t="s">
        <v>40</v>
      </c>
      <c r="F9" s="10" t="s">
        <v>82</v>
      </c>
      <c r="G9" s="10" t="s">
        <v>77</v>
      </c>
      <c r="H9" s="10" t="s">
        <v>71</v>
      </c>
      <c r="I9" s="10">
        <v>7</v>
      </c>
      <c r="J9" s="12">
        <v>220000</v>
      </c>
      <c r="K9" s="10">
        <v>0</v>
      </c>
      <c r="L9" s="10" t="s">
        <v>51</v>
      </c>
      <c r="M9" s="10" t="s">
        <v>83</v>
      </c>
    </row>
    <row r="10" spans="1:13" x14ac:dyDescent="0.3">
      <c r="A10" s="7" t="s">
        <v>84</v>
      </c>
      <c r="B10" s="8">
        <v>45478</v>
      </c>
      <c r="C10" s="7" t="s">
        <v>85</v>
      </c>
      <c r="D10" s="7" t="s">
        <v>48</v>
      </c>
      <c r="E10" s="7" t="s">
        <v>40</v>
      </c>
      <c r="F10" s="7" t="s">
        <v>61</v>
      </c>
      <c r="G10" s="7" t="s">
        <v>42</v>
      </c>
      <c r="H10" s="7" t="s">
        <v>66</v>
      </c>
      <c r="I10" s="7">
        <v>8</v>
      </c>
      <c r="J10" s="9">
        <v>22000</v>
      </c>
      <c r="K10" s="7">
        <v>0</v>
      </c>
      <c r="L10" s="7" t="s">
        <v>86</v>
      </c>
      <c r="M10" s="7" t="s">
        <v>87</v>
      </c>
    </row>
    <row r="11" spans="1:13" x14ac:dyDescent="0.3">
      <c r="A11" s="10" t="s">
        <v>88</v>
      </c>
      <c r="B11" s="11">
        <v>45491</v>
      </c>
      <c r="C11" s="10" t="s">
        <v>89</v>
      </c>
      <c r="D11" s="10"/>
      <c r="E11" s="10"/>
      <c r="F11" s="10" t="s">
        <v>76</v>
      </c>
      <c r="G11" s="10" t="s">
        <v>77</v>
      </c>
      <c r="H11" s="10" t="s">
        <v>66</v>
      </c>
      <c r="I11" s="10">
        <v>10</v>
      </c>
      <c r="J11" s="12">
        <v>180000</v>
      </c>
      <c r="K11" s="10">
        <v>5</v>
      </c>
      <c r="L11" s="10" t="s">
        <v>44</v>
      </c>
      <c r="M11" s="10" t="s">
        <v>78</v>
      </c>
    </row>
    <row r="12" spans="1:13" x14ac:dyDescent="0.3">
      <c r="A12" s="7" t="s">
        <v>90</v>
      </c>
      <c r="B12" s="8">
        <v>45357</v>
      </c>
      <c r="C12" s="7" t="s">
        <v>91</v>
      </c>
      <c r="D12" s="7" t="s">
        <v>39</v>
      </c>
      <c r="E12" s="7" t="s">
        <v>49</v>
      </c>
      <c r="F12" s="7" t="s">
        <v>92</v>
      </c>
      <c r="G12" s="7" t="s">
        <v>77</v>
      </c>
      <c r="H12" s="7" t="s">
        <v>71</v>
      </c>
      <c r="I12" s="7">
        <v>19</v>
      </c>
      <c r="J12" s="9">
        <v>450000</v>
      </c>
      <c r="K12" s="7">
        <v>10</v>
      </c>
      <c r="L12" s="7" t="s">
        <v>51</v>
      </c>
      <c r="M12" s="7" t="s">
        <v>93</v>
      </c>
    </row>
    <row r="13" spans="1:13" x14ac:dyDescent="0.3">
      <c r="A13" s="10" t="s">
        <v>94</v>
      </c>
      <c r="B13" s="11">
        <v>45304</v>
      </c>
      <c r="C13" s="10" t="s">
        <v>95</v>
      </c>
      <c r="D13" s="10" t="s">
        <v>65</v>
      </c>
      <c r="E13" s="10" t="s">
        <v>40</v>
      </c>
      <c r="F13" s="10" t="s">
        <v>57</v>
      </c>
      <c r="G13" s="10" t="s">
        <v>42</v>
      </c>
      <c r="H13" s="10" t="s">
        <v>71</v>
      </c>
      <c r="I13" s="10">
        <v>20</v>
      </c>
      <c r="J13" s="12">
        <v>28000</v>
      </c>
      <c r="K13" s="10">
        <v>10</v>
      </c>
      <c r="L13" s="10" t="s">
        <v>51</v>
      </c>
      <c r="M13" s="10" t="s">
        <v>96</v>
      </c>
    </row>
    <row r="14" spans="1:13" x14ac:dyDescent="0.3">
      <c r="A14" s="7" t="s">
        <v>97</v>
      </c>
      <c r="B14" s="8">
        <v>45652</v>
      </c>
      <c r="C14" s="7" t="s">
        <v>98</v>
      </c>
      <c r="D14" s="7" t="s">
        <v>81</v>
      </c>
      <c r="E14" s="7" t="s">
        <v>40</v>
      </c>
      <c r="F14" s="7" t="s">
        <v>99</v>
      </c>
      <c r="G14" s="7" t="s">
        <v>77</v>
      </c>
      <c r="H14" s="7" t="s">
        <v>71</v>
      </c>
      <c r="I14" s="7">
        <v>15</v>
      </c>
      <c r="J14" s="9">
        <v>95000</v>
      </c>
      <c r="K14" s="7">
        <v>0</v>
      </c>
      <c r="L14" s="7" t="s">
        <v>51</v>
      </c>
      <c r="M14" s="7" t="s">
        <v>100</v>
      </c>
    </row>
    <row r="15" spans="1:13" x14ac:dyDescent="0.3">
      <c r="A15" s="10" t="s">
        <v>101</v>
      </c>
      <c r="B15" s="11">
        <v>45563</v>
      </c>
      <c r="C15" s="10" t="s">
        <v>102</v>
      </c>
      <c r="D15" s="10" t="s">
        <v>75</v>
      </c>
      <c r="E15" s="10" t="s">
        <v>56</v>
      </c>
      <c r="F15" s="10" t="s">
        <v>82</v>
      </c>
      <c r="G15" s="10" t="s">
        <v>77</v>
      </c>
      <c r="H15" s="10" t="s">
        <v>66</v>
      </c>
      <c r="I15" s="10">
        <v>16</v>
      </c>
      <c r="J15" s="12">
        <v>220000</v>
      </c>
      <c r="K15" s="10">
        <v>20</v>
      </c>
      <c r="L15" s="10" t="s">
        <v>51</v>
      </c>
      <c r="M15" s="10" t="s">
        <v>103</v>
      </c>
    </row>
    <row r="16" spans="1:13" x14ac:dyDescent="0.3">
      <c r="A16" s="7" t="s">
        <v>104</v>
      </c>
      <c r="B16" s="8">
        <v>45483</v>
      </c>
      <c r="C16" s="7" t="s">
        <v>105</v>
      </c>
      <c r="D16" s="7" t="s">
        <v>48</v>
      </c>
      <c r="E16" s="7" t="s">
        <v>49</v>
      </c>
      <c r="F16" s="7" t="s">
        <v>92</v>
      </c>
      <c r="G16" s="7" t="s">
        <v>77</v>
      </c>
      <c r="H16" s="7" t="s">
        <v>43</v>
      </c>
      <c r="I16" s="7">
        <v>18</v>
      </c>
      <c r="J16" s="9">
        <v>450000</v>
      </c>
      <c r="K16" s="7">
        <v>15</v>
      </c>
      <c r="L16" s="7" t="s">
        <v>51</v>
      </c>
      <c r="M16" s="7" t="s">
        <v>106</v>
      </c>
    </row>
    <row r="17" spans="1:13" x14ac:dyDescent="0.3">
      <c r="A17" s="10" t="s">
        <v>107</v>
      </c>
      <c r="B17" s="11">
        <v>45424</v>
      </c>
      <c r="C17" s="10" t="s">
        <v>108</v>
      </c>
      <c r="D17" s="10" t="s">
        <v>109</v>
      </c>
      <c r="E17" s="10" t="s">
        <v>40</v>
      </c>
      <c r="F17" s="10" t="s">
        <v>82</v>
      </c>
      <c r="G17" s="10" t="s">
        <v>77</v>
      </c>
      <c r="H17" s="10"/>
      <c r="I17" s="10">
        <v>10</v>
      </c>
      <c r="J17" s="12">
        <v>220000</v>
      </c>
      <c r="K17" s="10">
        <v>10</v>
      </c>
      <c r="L17" s="10" t="s">
        <v>51</v>
      </c>
      <c r="M17" s="10" t="s">
        <v>110</v>
      </c>
    </row>
    <row r="18" spans="1:13" x14ac:dyDescent="0.3">
      <c r="A18" s="7" t="s">
        <v>111</v>
      </c>
      <c r="B18" s="8">
        <v>45561</v>
      </c>
      <c r="C18" s="7" t="s">
        <v>112</v>
      </c>
      <c r="D18" s="7" t="s">
        <v>75</v>
      </c>
      <c r="E18" s="7" t="s">
        <v>70</v>
      </c>
      <c r="F18" s="7" t="s">
        <v>92</v>
      </c>
      <c r="G18" s="7" t="s">
        <v>77</v>
      </c>
      <c r="H18" s="7" t="s">
        <v>71</v>
      </c>
      <c r="I18" s="7">
        <v>16</v>
      </c>
      <c r="J18" s="9">
        <v>450000</v>
      </c>
      <c r="K18" s="7">
        <v>0</v>
      </c>
      <c r="L18" s="7" t="s">
        <v>86</v>
      </c>
      <c r="M18" s="7" t="s">
        <v>93</v>
      </c>
    </row>
    <row r="19" spans="1:13" x14ac:dyDescent="0.3">
      <c r="A19" s="10" t="s">
        <v>113</v>
      </c>
      <c r="B19" s="11">
        <v>45376</v>
      </c>
      <c r="C19" s="10" t="s">
        <v>114</v>
      </c>
      <c r="D19" s="10" t="s">
        <v>55</v>
      </c>
      <c r="E19" s="10" t="s">
        <v>49</v>
      </c>
      <c r="F19" s="10" t="s">
        <v>61</v>
      </c>
      <c r="G19" s="10" t="s">
        <v>42</v>
      </c>
      <c r="H19" s="10" t="s">
        <v>71</v>
      </c>
      <c r="I19" s="10">
        <v>10</v>
      </c>
      <c r="J19" s="12">
        <v>22000</v>
      </c>
      <c r="K19" s="10">
        <v>5</v>
      </c>
      <c r="L19" s="10" t="s">
        <v>51</v>
      </c>
      <c r="M19" s="10" t="s">
        <v>115</v>
      </c>
    </row>
    <row r="20" spans="1:13" x14ac:dyDescent="0.3">
      <c r="A20" s="7" t="s">
        <v>116</v>
      </c>
      <c r="B20" s="8">
        <v>45399</v>
      </c>
      <c r="C20" s="7" t="s">
        <v>117</v>
      </c>
      <c r="D20" s="7" t="s">
        <v>118</v>
      </c>
      <c r="E20" s="7" t="s">
        <v>40</v>
      </c>
      <c r="F20" s="7" t="s">
        <v>57</v>
      </c>
      <c r="G20" s="7" t="s">
        <v>42</v>
      </c>
      <c r="H20" s="7" t="s">
        <v>71</v>
      </c>
      <c r="I20" s="7">
        <v>14</v>
      </c>
      <c r="J20" s="9">
        <v>28000</v>
      </c>
      <c r="K20" s="7">
        <v>0</v>
      </c>
      <c r="L20" s="7" t="s">
        <v>51</v>
      </c>
      <c r="M20" s="7" t="s">
        <v>96</v>
      </c>
    </row>
    <row r="21" spans="1:13" x14ac:dyDescent="0.3">
      <c r="A21" s="10" t="s">
        <v>119</v>
      </c>
      <c r="B21" s="11">
        <v>45574</v>
      </c>
      <c r="C21" s="10" t="s">
        <v>120</v>
      </c>
      <c r="D21" s="10" t="s">
        <v>75</v>
      </c>
      <c r="E21" s="10" t="s">
        <v>70</v>
      </c>
      <c r="F21" s="10" t="s">
        <v>61</v>
      </c>
      <c r="G21" s="10" t="s">
        <v>42</v>
      </c>
      <c r="H21" s="10" t="s">
        <v>66</v>
      </c>
      <c r="I21" s="10">
        <v>8</v>
      </c>
      <c r="J21" s="12">
        <v>22000</v>
      </c>
      <c r="K21" s="10">
        <v>5</v>
      </c>
      <c r="L21" s="10" t="s">
        <v>51</v>
      </c>
      <c r="M21" s="10" t="s">
        <v>87</v>
      </c>
    </row>
    <row r="22" spans="1:13" x14ac:dyDescent="0.3">
      <c r="A22" s="7" t="s">
        <v>121</v>
      </c>
      <c r="B22" s="8">
        <v>45631</v>
      </c>
      <c r="C22" s="7" t="s">
        <v>122</v>
      </c>
      <c r="D22" s="7" t="s">
        <v>48</v>
      </c>
      <c r="E22" s="7" t="s">
        <v>70</v>
      </c>
      <c r="F22" s="7" t="s">
        <v>50</v>
      </c>
      <c r="G22" s="7" t="s">
        <v>42</v>
      </c>
      <c r="H22" s="7" t="s">
        <v>66</v>
      </c>
      <c r="I22" s="7">
        <v>19</v>
      </c>
      <c r="J22" s="9">
        <v>18000</v>
      </c>
      <c r="K22" s="7">
        <v>15</v>
      </c>
      <c r="L22" s="7" t="s">
        <v>51</v>
      </c>
      <c r="M22" s="7" t="s">
        <v>123</v>
      </c>
    </row>
    <row r="23" spans="1:13" x14ac:dyDescent="0.3">
      <c r="A23" s="10" t="s">
        <v>124</v>
      </c>
      <c r="B23" s="11">
        <v>45475</v>
      </c>
      <c r="C23" s="10" t="s">
        <v>125</v>
      </c>
      <c r="D23" s="10" t="s">
        <v>109</v>
      </c>
      <c r="E23" s="10" t="s">
        <v>49</v>
      </c>
      <c r="F23" s="10" t="s">
        <v>76</v>
      </c>
      <c r="G23" s="10" t="s">
        <v>77</v>
      </c>
      <c r="H23" s="10" t="s">
        <v>66</v>
      </c>
      <c r="I23" s="10">
        <v>12</v>
      </c>
      <c r="J23" s="12">
        <v>180000</v>
      </c>
      <c r="K23" s="10">
        <v>0</v>
      </c>
      <c r="L23" s="10" t="s">
        <v>51</v>
      </c>
      <c r="M23" s="10" t="s">
        <v>78</v>
      </c>
    </row>
    <row r="24" spans="1:13" x14ac:dyDescent="0.3">
      <c r="A24" s="7" t="s">
        <v>116</v>
      </c>
      <c r="B24" s="8">
        <v>45399</v>
      </c>
      <c r="C24" s="7" t="s">
        <v>117</v>
      </c>
      <c r="D24" s="7" t="s">
        <v>118</v>
      </c>
      <c r="E24" s="7" t="s">
        <v>40</v>
      </c>
      <c r="F24" s="7" t="s">
        <v>57</v>
      </c>
      <c r="G24" s="7" t="s">
        <v>42</v>
      </c>
      <c r="H24" s="7" t="s">
        <v>71</v>
      </c>
      <c r="I24" s="7">
        <v>14</v>
      </c>
      <c r="J24" s="9">
        <v>28000</v>
      </c>
      <c r="K24" s="7">
        <v>0</v>
      </c>
      <c r="L24" s="7" t="s">
        <v>51</v>
      </c>
      <c r="M24" s="7" t="s">
        <v>96</v>
      </c>
    </row>
    <row r="25" spans="1:13" x14ac:dyDescent="0.3">
      <c r="A25" s="10" t="s">
        <v>126</v>
      </c>
      <c r="B25" s="11">
        <v>45357</v>
      </c>
      <c r="C25" s="10" t="s">
        <v>127</v>
      </c>
      <c r="D25" s="10" t="s">
        <v>65</v>
      </c>
      <c r="E25" s="10" t="s">
        <v>70</v>
      </c>
      <c r="F25" s="10" t="s">
        <v>57</v>
      </c>
      <c r="G25" s="10" t="s">
        <v>42</v>
      </c>
      <c r="H25" s="10" t="s">
        <v>66</v>
      </c>
      <c r="I25" s="10">
        <v>19</v>
      </c>
      <c r="J25" s="12">
        <v>28000</v>
      </c>
      <c r="K25" s="10">
        <v>15</v>
      </c>
      <c r="L25" s="10" t="s">
        <v>51</v>
      </c>
      <c r="M25" s="10" t="s">
        <v>67</v>
      </c>
    </row>
    <row r="26" spans="1:13" x14ac:dyDescent="0.3">
      <c r="A26" s="7" t="s">
        <v>128</v>
      </c>
      <c r="B26" s="8">
        <v>45557</v>
      </c>
      <c r="C26" s="7" t="s">
        <v>129</v>
      </c>
      <c r="D26" s="7" t="s">
        <v>48</v>
      </c>
      <c r="E26" s="7" t="s">
        <v>56</v>
      </c>
      <c r="F26" s="7" t="s">
        <v>82</v>
      </c>
      <c r="G26" s="7" t="s">
        <v>77</v>
      </c>
      <c r="H26" s="7" t="s">
        <v>130</v>
      </c>
      <c r="I26" s="7">
        <v>19</v>
      </c>
      <c r="J26" s="9">
        <v>220000</v>
      </c>
      <c r="K26" s="7">
        <v>5</v>
      </c>
      <c r="L26" s="7" t="s">
        <v>131</v>
      </c>
      <c r="M26" s="7" t="s">
        <v>132</v>
      </c>
    </row>
    <row r="27" spans="1:13" x14ac:dyDescent="0.3">
      <c r="A27" s="10" t="s">
        <v>133</v>
      </c>
      <c r="B27" s="11">
        <v>45301</v>
      </c>
      <c r="C27" s="10" t="s">
        <v>134</v>
      </c>
      <c r="D27" s="10" t="s">
        <v>65</v>
      </c>
      <c r="E27" s="10" t="s">
        <v>70</v>
      </c>
      <c r="F27" s="10" t="s">
        <v>50</v>
      </c>
      <c r="G27" s="10" t="s">
        <v>42</v>
      </c>
      <c r="H27" s="10" t="s">
        <v>43</v>
      </c>
      <c r="I27" s="10">
        <v>2</v>
      </c>
      <c r="J27" s="12">
        <v>18000</v>
      </c>
      <c r="K27" s="10">
        <v>0</v>
      </c>
      <c r="L27" s="10" t="s">
        <v>51</v>
      </c>
      <c r="M27" s="10" t="s">
        <v>52</v>
      </c>
    </row>
    <row r="28" spans="1:13" x14ac:dyDescent="0.3">
      <c r="A28" s="7" t="s">
        <v>135</v>
      </c>
      <c r="B28" s="8">
        <v>45449</v>
      </c>
      <c r="C28" s="7" t="s">
        <v>136</v>
      </c>
      <c r="D28" s="7" t="s">
        <v>39</v>
      </c>
      <c r="E28" s="7" t="s">
        <v>40</v>
      </c>
      <c r="F28" s="7" t="s">
        <v>61</v>
      </c>
      <c r="G28" s="7" t="s">
        <v>42</v>
      </c>
      <c r="H28" s="7" t="s">
        <v>137</v>
      </c>
      <c r="I28" s="7">
        <v>10</v>
      </c>
      <c r="J28" s="9">
        <v>22000</v>
      </c>
      <c r="K28" s="7">
        <v>0</v>
      </c>
      <c r="L28" s="7" t="s">
        <v>44</v>
      </c>
      <c r="M28" s="7" t="s">
        <v>138</v>
      </c>
    </row>
    <row r="29" spans="1:13" x14ac:dyDescent="0.3">
      <c r="A29" s="10" t="s">
        <v>139</v>
      </c>
      <c r="B29" s="11">
        <v>45577</v>
      </c>
      <c r="C29" s="10" t="s">
        <v>140</v>
      </c>
      <c r="D29" s="10" t="s">
        <v>141</v>
      </c>
      <c r="E29" s="10" t="s">
        <v>70</v>
      </c>
      <c r="F29" s="10" t="s">
        <v>76</v>
      </c>
      <c r="G29" s="10" t="s">
        <v>77</v>
      </c>
      <c r="H29" s="10" t="s">
        <v>71</v>
      </c>
      <c r="I29" s="10">
        <v>15</v>
      </c>
      <c r="J29" s="12">
        <v>180000</v>
      </c>
      <c r="K29" s="10">
        <v>0</v>
      </c>
      <c r="L29" s="10" t="s">
        <v>131</v>
      </c>
      <c r="M29" s="10" t="s">
        <v>142</v>
      </c>
    </row>
    <row r="30" spans="1:13" x14ac:dyDescent="0.3">
      <c r="A30" s="7" t="s">
        <v>143</v>
      </c>
      <c r="B30" s="8">
        <v>45405</v>
      </c>
      <c r="C30" s="7" t="s">
        <v>144</v>
      </c>
      <c r="D30" s="7" t="s">
        <v>109</v>
      </c>
      <c r="E30" s="7" t="s">
        <v>49</v>
      </c>
      <c r="F30" s="7" t="s">
        <v>92</v>
      </c>
      <c r="G30" s="7" t="s">
        <v>77</v>
      </c>
      <c r="H30" s="7" t="s">
        <v>43</v>
      </c>
      <c r="I30" s="7">
        <v>15</v>
      </c>
      <c r="J30" s="9">
        <v>450000</v>
      </c>
      <c r="K30" s="7">
        <v>10</v>
      </c>
      <c r="L30" s="7" t="s">
        <v>51</v>
      </c>
      <c r="M30" s="7" t="s">
        <v>106</v>
      </c>
    </row>
    <row r="31" spans="1:13" x14ac:dyDescent="0.3">
      <c r="A31" s="10" t="s">
        <v>145</v>
      </c>
      <c r="B31" s="11">
        <v>45356</v>
      </c>
      <c r="C31" s="10" t="s">
        <v>146</v>
      </c>
      <c r="D31" s="10" t="s">
        <v>141</v>
      </c>
      <c r="E31" s="10" t="s">
        <v>70</v>
      </c>
      <c r="F31" s="10" t="s">
        <v>82</v>
      </c>
      <c r="G31" s="10" t="s">
        <v>77</v>
      </c>
      <c r="H31" s="10" t="s">
        <v>71</v>
      </c>
      <c r="I31" s="10">
        <v>18</v>
      </c>
      <c r="J31" s="12">
        <v>220000</v>
      </c>
      <c r="K31" s="10">
        <v>20</v>
      </c>
      <c r="L31" s="10" t="s">
        <v>51</v>
      </c>
      <c r="M31" s="10" t="s">
        <v>83</v>
      </c>
    </row>
    <row r="32" spans="1:13" x14ac:dyDescent="0.3">
      <c r="A32" s="7" t="s">
        <v>147</v>
      </c>
      <c r="B32" s="8">
        <v>45507</v>
      </c>
      <c r="C32" s="7" t="s">
        <v>148</v>
      </c>
      <c r="D32" s="7" t="s">
        <v>109</v>
      </c>
      <c r="E32" s="7" t="s">
        <v>40</v>
      </c>
      <c r="F32" s="7" t="s">
        <v>99</v>
      </c>
      <c r="G32" s="7" t="s">
        <v>77</v>
      </c>
      <c r="H32" s="7" t="s">
        <v>43</v>
      </c>
      <c r="I32" s="7">
        <v>5</v>
      </c>
      <c r="J32" s="9">
        <v>95000</v>
      </c>
      <c r="K32" s="7">
        <v>15</v>
      </c>
      <c r="L32" s="7" t="s">
        <v>86</v>
      </c>
      <c r="M32" s="7" t="s">
        <v>149</v>
      </c>
    </row>
    <row r="33" spans="1:13" x14ac:dyDescent="0.3">
      <c r="A33" s="10" t="s">
        <v>150</v>
      </c>
      <c r="B33" s="11">
        <v>45379</v>
      </c>
      <c r="C33" s="10" t="s">
        <v>151</v>
      </c>
      <c r="D33" s="10" t="s">
        <v>75</v>
      </c>
      <c r="E33" s="10" t="s">
        <v>49</v>
      </c>
      <c r="F33" s="10" t="s">
        <v>50</v>
      </c>
      <c r="G33" s="10" t="s">
        <v>42</v>
      </c>
      <c r="H33" s="10" t="s">
        <v>43</v>
      </c>
      <c r="I33" s="10">
        <v>7</v>
      </c>
      <c r="J33" s="12">
        <v>18000</v>
      </c>
      <c r="K33" s="10">
        <v>0</v>
      </c>
      <c r="L33" s="10" t="s">
        <v>51</v>
      </c>
      <c r="M33" s="10" t="s">
        <v>52</v>
      </c>
    </row>
    <row r="34" spans="1:13" x14ac:dyDescent="0.3">
      <c r="A34" s="7" t="s">
        <v>152</v>
      </c>
      <c r="B34" s="8">
        <v>45437</v>
      </c>
      <c r="C34" s="7" t="s">
        <v>153</v>
      </c>
      <c r="D34" s="7" t="s">
        <v>154</v>
      </c>
      <c r="E34" s="7" t="s">
        <v>49</v>
      </c>
      <c r="F34" s="7" t="s">
        <v>76</v>
      </c>
      <c r="G34" s="7" t="s">
        <v>77</v>
      </c>
      <c r="H34" s="7" t="s">
        <v>71</v>
      </c>
      <c r="I34" s="7">
        <v>19</v>
      </c>
      <c r="J34" s="9">
        <v>180000</v>
      </c>
      <c r="K34" s="7">
        <v>0</v>
      </c>
      <c r="L34" s="7" t="s">
        <v>51</v>
      </c>
      <c r="M34" s="7" t="s">
        <v>142</v>
      </c>
    </row>
    <row r="35" spans="1:13" x14ac:dyDescent="0.3">
      <c r="A35" s="10" t="s">
        <v>155</v>
      </c>
      <c r="B35" s="11">
        <v>45607</v>
      </c>
      <c r="C35" s="10" t="s">
        <v>156</v>
      </c>
      <c r="D35" s="10" t="s">
        <v>65</v>
      </c>
      <c r="E35" s="10" t="s">
        <v>40</v>
      </c>
      <c r="F35" s="10" t="s">
        <v>82</v>
      </c>
      <c r="G35" s="10" t="s">
        <v>77</v>
      </c>
      <c r="H35" s="10" t="s">
        <v>137</v>
      </c>
      <c r="I35" s="10">
        <v>12</v>
      </c>
      <c r="J35" s="12">
        <v>220000</v>
      </c>
      <c r="K35" s="10">
        <v>20</v>
      </c>
      <c r="L35" s="10" t="s">
        <v>131</v>
      </c>
      <c r="M35" s="10" t="s">
        <v>157</v>
      </c>
    </row>
    <row r="36" spans="1:13" x14ac:dyDescent="0.3">
      <c r="A36" s="7" t="s">
        <v>158</v>
      </c>
      <c r="B36" s="8">
        <v>45648</v>
      </c>
      <c r="C36" s="7" t="s">
        <v>159</v>
      </c>
      <c r="D36" s="7" t="s">
        <v>55</v>
      </c>
      <c r="E36" s="7" t="s">
        <v>49</v>
      </c>
      <c r="F36" s="7" t="s">
        <v>92</v>
      </c>
      <c r="G36" s="7" t="s">
        <v>77</v>
      </c>
      <c r="H36" s="7" t="s">
        <v>43</v>
      </c>
      <c r="I36" s="7">
        <v>1</v>
      </c>
      <c r="J36" s="9">
        <v>450000</v>
      </c>
      <c r="K36" s="7">
        <v>10</v>
      </c>
      <c r="L36" s="7" t="s">
        <v>131</v>
      </c>
      <c r="M36" s="7" t="s">
        <v>106</v>
      </c>
    </row>
    <row r="37" spans="1:13" x14ac:dyDescent="0.3">
      <c r="A37" s="10" t="s">
        <v>160</v>
      </c>
      <c r="B37" s="11">
        <v>45525</v>
      </c>
      <c r="C37" s="10" t="s">
        <v>161</v>
      </c>
      <c r="D37" s="10" t="s">
        <v>81</v>
      </c>
      <c r="E37" s="10" t="s">
        <v>162</v>
      </c>
      <c r="F37" s="10" t="s">
        <v>41</v>
      </c>
      <c r="G37" s="10" t="s">
        <v>42</v>
      </c>
      <c r="H37" s="10" t="s">
        <v>163</v>
      </c>
      <c r="I37" s="10">
        <v>13</v>
      </c>
      <c r="J37" s="12">
        <v>35000</v>
      </c>
      <c r="K37" s="10">
        <v>0</v>
      </c>
      <c r="L37" s="10" t="s">
        <v>164</v>
      </c>
      <c r="M37" s="10" t="s">
        <v>165</v>
      </c>
    </row>
    <row r="38" spans="1:13" x14ac:dyDescent="0.3">
      <c r="A38" s="7" t="s">
        <v>166</v>
      </c>
      <c r="B38" s="8">
        <v>45378</v>
      </c>
      <c r="C38" s="7" t="s">
        <v>167</v>
      </c>
      <c r="D38" s="7" t="s">
        <v>81</v>
      </c>
      <c r="E38" s="7" t="s">
        <v>56</v>
      </c>
      <c r="F38" s="7" t="s">
        <v>92</v>
      </c>
      <c r="G38" s="7" t="s">
        <v>77</v>
      </c>
      <c r="H38" s="7" t="s">
        <v>66</v>
      </c>
      <c r="I38" s="7">
        <v>8</v>
      </c>
      <c r="J38" s="9">
        <v>450000</v>
      </c>
      <c r="K38" s="7">
        <v>20</v>
      </c>
      <c r="L38" s="7" t="s">
        <v>51</v>
      </c>
      <c r="M38" s="7" t="s">
        <v>168</v>
      </c>
    </row>
    <row r="39" spans="1:13" x14ac:dyDescent="0.3">
      <c r="A39" s="10" t="s">
        <v>169</v>
      </c>
      <c r="B39" s="11">
        <v>45419</v>
      </c>
      <c r="C39" s="10" t="s">
        <v>170</v>
      </c>
      <c r="D39" s="10" t="s">
        <v>48</v>
      </c>
      <c r="E39" s="10" t="s">
        <v>49</v>
      </c>
      <c r="F39" s="10" t="s">
        <v>41</v>
      </c>
      <c r="G39" s="10" t="s">
        <v>42</v>
      </c>
      <c r="H39" s="10" t="s">
        <v>43</v>
      </c>
      <c r="I39" s="10">
        <v>2</v>
      </c>
      <c r="J39" s="12">
        <v>35000</v>
      </c>
      <c r="K39" s="10">
        <v>5</v>
      </c>
      <c r="L39" s="10" t="s">
        <v>86</v>
      </c>
      <c r="M39" s="10" t="s">
        <v>45</v>
      </c>
    </row>
    <row r="40" spans="1:13" x14ac:dyDescent="0.3">
      <c r="A40" s="7" t="s">
        <v>171</v>
      </c>
      <c r="B40" s="8">
        <v>46184</v>
      </c>
      <c r="C40" s="7" t="s">
        <v>172</v>
      </c>
      <c r="D40" s="7" t="s">
        <v>75</v>
      </c>
      <c r="E40" s="7" t="s">
        <v>173</v>
      </c>
      <c r="F40" s="7" t="s">
        <v>61</v>
      </c>
      <c r="G40" s="7" t="s">
        <v>42</v>
      </c>
      <c r="H40" s="7" t="s">
        <v>163</v>
      </c>
      <c r="I40" s="7">
        <v>3</v>
      </c>
      <c r="J40" s="9">
        <v>22000</v>
      </c>
      <c r="K40" s="7">
        <v>15</v>
      </c>
      <c r="L40" s="7" t="s">
        <v>174</v>
      </c>
      <c r="M40" s="7" t="s">
        <v>175</v>
      </c>
    </row>
    <row r="41" spans="1:13" x14ac:dyDescent="0.3">
      <c r="A41" s="10" t="s">
        <v>176</v>
      </c>
      <c r="B41" s="11">
        <v>45445</v>
      </c>
      <c r="C41" s="10" t="s">
        <v>177</v>
      </c>
      <c r="D41" s="10" t="s">
        <v>109</v>
      </c>
      <c r="E41" s="10" t="s">
        <v>49</v>
      </c>
      <c r="F41" s="10" t="s">
        <v>82</v>
      </c>
      <c r="G41" s="10" t="s">
        <v>77</v>
      </c>
      <c r="H41" s="10" t="s">
        <v>71</v>
      </c>
      <c r="I41" s="10">
        <v>7</v>
      </c>
      <c r="J41" s="12">
        <v>220000</v>
      </c>
      <c r="K41" s="10">
        <v>10</v>
      </c>
      <c r="L41" s="10" t="s">
        <v>44</v>
      </c>
      <c r="M41" s="10" t="s">
        <v>83</v>
      </c>
    </row>
    <row r="42" spans="1:13" x14ac:dyDescent="0.3">
      <c r="A42" s="7" t="s">
        <v>178</v>
      </c>
      <c r="B42" s="8">
        <v>45360</v>
      </c>
      <c r="C42" s="7" t="s">
        <v>179</v>
      </c>
      <c r="D42" s="7" t="s">
        <v>75</v>
      </c>
      <c r="E42" s="7" t="s">
        <v>70</v>
      </c>
      <c r="F42" s="7" t="s">
        <v>41</v>
      </c>
      <c r="G42" s="7" t="s">
        <v>42</v>
      </c>
      <c r="H42" s="7" t="s">
        <v>66</v>
      </c>
      <c r="I42" s="7">
        <v>5</v>
      </c>
      <c r="J42" s="9">
        <v>35000</v>
      </c>
      <c r="K42" s="7">
        <v>5</v>
      </c>
      <c r="L42" s="7" t="s">
        <v>51</v>
      </c>
      <c r="M42" s="7" t="s">
        <v>180</v>
      </c>
    </row>
    <row r="43" spans="1:13" x14ac:dyDescent="0.3">
      <c r="A43" s="10" t="s">
        <v>181</v>
      </c>
      <c r="B43" s="11">
        <v>45477</v>
      </c>
      <c r="C43" s="10" t="s">
        <v>182</v>
      </c>
      <c r="D43" s="10" t="s">
        <v>39</v>
      </c>
      <c r="E43" s="10" t="s">
        <v>49</v>
      </c>
      <c r="F43" s="10" t="s">
        <v>57</v>
      </c>
      <c r="G43" s="10" t="s">
        <v>42</v>
      </c>
      <c r="H43" s="10" t="s">
        <v>43</v>
      </c>
      <c r="I43" s="10">
        <v>17</v>
      </c>
      <c r="J43" s="12">
        <v>28000</v>
      </c>
      <c r="K43" s="10">
        <v>10</v>
      </c>
      <c r="L43" s="10" t="s">
        <v>51</v>
      </c>
      <c r="M43" s="10" t="s">
        <v>58</v>
      </c>
    </row>
    <row r="44" spans="1:13" x14ac:dyDescent="0.3">
      <c r="A44" s="7" t="s">
        <v>183</v>
      </c>
      <c r="B44" s="8">
        <v>45629</v>
      </c>
      <c r="C44" s="7" t="s">
        <v>184</v>
      </c>
      <c r="D44" s="7" t="s">
        <v>154</v>
      </c>
      <c r="E44" s="7" t="s">
        <v>70</v>
      </c>
      <c r="F44" s="7" t="s">
        <v>92</v>
      </c>
      <c r="G44" s="7" t="s">
        <v>77</v>
      </c>
      <c r="H44" s="7" t="s">
        <v>66</v>
      </c>
      <c r="I44" s="7">
        <v>10</v>
      </c>
      <c r="J44" s="9">
        <v>450000</v>
      </c>
      <c r="K44" s="7">
        <v>20</v>
      </c>
      <c r="L44" s="7" t="s">
        <v>51</v>
      </c>
      <c r="M44" s="7" t="s">
        <v>168</v>
      </c>
    </row>
    <row r="45" spans="1:13" x14ac:dyDescent="0.3">
      <c r="A45" s="10" t="s">
        <v>185</v>
      </c>
      <c r="B45" s="11">
        <v>45602</v>
      </c>
      <c r="C45" s="10" t="s">
        <v>186</v>
      </c>
      <c r="D45" s="10" t="s">
        <v>48</v>
      </c>
      <c r="E45" s="10" t="s">
        <v>40</v>
      </c>
      <c r="F45" s="10" t="s">
        <v>76</v>
      </c>
      <c r="G45" s="10" t="s">
        <v>77</v>
      </c>
      <c r="H45" s="10" t="s">
        <v>66</v>
      </c>
      <c r="I45" s="10">
        <v>3</v>
      </c>
      <c r="J45" s="12">
        <v>180000</v>
      </c>
      <c r="K45" s="10">
        <v>10</v>
      </c>
      <c r="L45" s="10" t="s">
        <v>131</v>
      </c>
      <c r="M45" s="10" t="s">
        <v>78</v>
      </c>
    </row>
    <row r="46" spans="1:13" x14ac:dyDescent="0.3">
      <c r="A46" s="7" t="s">
        <v>187</v>
      </c>
      <c r="B46" s="8">
        <v>45360</v>
      </c>
      <c r="C46" s="7" t="s">
        <v>188</v>
      </c>
      <c r="D46" s="7" t="s">
        <v>141</v>
      </c>
      <c r="E46" s="7" t="s">
        <v>70</v>
      </c>
      <c r="F46" s="7" t="s">
        <v>61</v>
      </c>
      <c r="G46" s="7" t="s">
        <v>42</v>
      </c>
      <c r="H46" s="7" t="s">
        <v>66</v>
      </c>
      <c r="I46" s="7">
        <v>10</v>
      </c>
      <c r="J46" s="9">
        <v>22000</v>
      </c>
      <c r="K46" s="7">
        <v>0</v>
      </c>
      <c r="L46" s="7" t="s">
        <v>51</v>
      </c>
      <c r="M46" s="7" t="s">
        <v>87</v>
      </c>
    </row>
    <row r="47" spans="1:13" x14ac:dyDescent="0.3">
      <c r="A47" s="10" t="s">
        <v>189</v>
      </c>
      <c r="B47" s="11">
        <v>45416</v>
      </c>
      <c r="C47" s="10" t="s">
        <v>190</v>
      </c>
      <c r="D47" s="10"/>
      <c r="E47" s="10" t="s">
        <v>49</v>
      </c>
      <c r="F47" s="10" t="s">
        <v>50</v>
      </c>
      <c r="G47" s="10" t="s">
        <v>42</v>
      </c>
      <c r="H47" s="10" t="s">
        <v>43</v>
      </c>
      <c r="I47" s="10">
        <v>18</v>
      </c>
      <c r="J47" s="12">
        <v>18000</v>
      </c>
      <c r="K47" s="10">
        <v>0</v>
      </c>
      <c r="L47" s="10" t="s">
        <v>51</v>
      </c>
      <c r="M47" s="10" t="s">
        <v>52</v>
      </c>
    </row>
    <row r="48" spans="1:13" x14ac:dyDescent="0.3">
      <c r="A48" s="7" t="s">
        <v>191</v>
      </c>
      <c r="B48" s="8">
        <v>45609</v>
      </c>
      <c r="C48" s="7" t="s">
        <v>192</v>
      </c>
      <c r="D48" s="7" t="s">
        <v>65</v>
      </c>
      <c r="E48" s="7" t="s">
        <v>70</v>
      </c>
      <c r="F48" s="7" t="s">
        <v>76</v>
      </c>
      <c r="G48" s="7" t="s">
        <v>77</v>
      </c>
      <c r="H48" s="7" t="s">
        <v>66</v>
      </c>
      <c r="I48" s="7">
        <v>8</v>
      </c>
      <c r="J48" s="9">
        <v>180000</v>
      </c>
      <c r="K48" s="7">
        <v>20</v>
      </c>
      <c r="L48" s="7" t="s">
        <v>86</v>
      </c>
      <c r="M48" s="7" t="s">
        <v>78</v>
      </c>
    </row>
    <row r="49" spans="1:13" x14ac:dyDescent="0.3">
      <c r="A49" s="10" t="s">
        <v>193</v>
      </c>
      <c r="B49" s="11">
        <v>45615</v>
      </c>
      <c r="C49" s="10" t="s">
        <v>194</v>
      </c>
      <c r="D49" s="10" t="s">
        <v>39</v>
      </c>
      <c r="E49" s="10" t="s">
        <v>195</v>
      </c>
      <c r="F49" s="10" t="s">
        <v>99</v>
      </c>
      <c r="G49" s="10" t="s">
        <v>77</v>
      </c>
      <c r="H49" s="10" t="s">
        <v>196</v>
      </c>
      <c r="I49" s="10">
        <v>9</v>
      </c>
      <c r="J49" s="12">
        <v>95000</v>
      </c>
      <c r="K49" s="10">
        <v>10</v>
      </c>
      <c r="L49" s="10" t="s">
        <v>174</v>
      </c>
      <c r="M49" s="10" t="s">
        <v>197</v>
      </c>
    </row>
    <row r="50" spans="1:13" x14ac:dyDescent="0.3">
      <c r="A50" s="7" t="s">
        <v>198</v>
      </c>
      <c r="B50" s="8">
        <v>45479</v>
      </c>
      <c r="C50" s="7" t="s">
        <v>199</v>
      </c>
      <c r="D50" s="7" t="s">
        <v>118</v>
      </c>
      <c r="E50" s="7" t="s">
        <v>40</v>
      </c>
      <c r="F50" s="7" t="s">
        <v>57</v>
      </c>
      <c r="G50" s="7" t="s">
        <v>42</v>
      </c>
      <c r="H50" s="7" t="s">
        <v>71</v>
      </c>
      <c r="I50" s="7">
        <v>5</v>
      </c>
      <c r="J50" s="9">
        <v>28000</v>
      </c>
      <c r="K50" s="7">
        <v>0</v>
      </c>
      <c r="L50" s="7" t="s">
        <v>51</v>
      </c>
      <c r="M50" s="7" t="s">
        <v>96</v>
      </c>
    </row>
    <row r="51" spans="1:13" x14ac:dyDescent="0.3">
      <c r="A51" s="10" t="s">
        <v>200</v>
      </c>
      <c r="B51" s="11">
        <v>45295</v>
      </c>
      <c r="C51" s="10" t="s">
        <v>201</v>
      </c>
      <c r="D51" s="10" t="s">
        <v>39</v>
      </c>
      <c r="E51" s="10" t="s">
        <v>70</v>
      </c>
      <c r="F51" s="10" t="s">
        <v>92</v>
      </c>
      <c r="G51" s="10" t="s">
        <v>77</v>
      </c>
      <c r="H51" s="10" t="s">
        <v>71</v>
      </c>
      <c r="I51" s="10">
        <v>14</v>
      </c>
      <c r="J51" s="12">
        <v>450000</v>
      </c>
      <c r="K51" s="10">
        <v>0</v>
      </c>
      <c r="L51" s="10" t="s">
        <v>86</v>
      </c>
      <c r="M51" s="10" t="s">
        <v>93</v>
      </c>
    </row>
    <row r="52" spans="1:13" x14ac:dyDescent="0.3">
      <c r="A52" s="7" t="s">
        <v>202</v>
      </c>
      <c r="B52" s="8">
        <v>45449</v>
      </c>
      <c r="C52" s="7" t="s">
        <v>203</v>
      </c>
      <c r="D52" s="7" t="s">
        <v>55</v>
      </c>
      <c r="E52" s="7" t="s">
        <v>49</v>
      </c>
      <c r="F52" s="7" t="s">
        <v>82</v>
      </c>
      <c r="G52" s="7" t="s">
        <v>77</v>
      </c>
      <c r="H52" s="7" t="s">
        <v>43</v>
      </c>
      <c r="I52" s="7">
        <v>16</v>
      </c>
      <c r="J52" s="9">
        <v>220000</v>
      </c>
      <c r="K52" s="7">
        <v>5</v>
      </c>
      <c r="L52" s="7" t="s">
        <v>51</v>
      </c>
      <c r="M52" s="7" t="s">
        <v>204</v>
      </c>
    </row>
    <row r="53" spans="1:13" x14ac:dyDescent="0.3">
      <c r="A53" s="10" t="s">
        <v>205</v>
      </c>
      <c r="B53" s="11">
        <v>45547</v>
      </c>
      <c r="C53" s="10" t="s">
        <v>206</v>
      </c>
      <c r="D53" s="10" t="s">
        <v>75</v>
      </c>
      <c r="E53" s="10" t="s">
        <v>207</v>
      </c>
      <c r="F53" s="10" t="s">
        <v>61</v>
      </c>
      <c r="G53" s="10" t="s">
        <v>42</v>
      </c>
      <c r="H53" s="10" t="s">
        <v>196</v>
      </c>
      <c r="I53" s="10">
        <v>1</v>
      </c>
      <c r="J53" s="12">
        <v>22000</v>
      </c>
      <c r="K53" s="10">
        <v>0</v>
      </c>
      <c r="L53" s="10" t="s">
        <v>164</v>
      </c>
      <c r="M53" s="10" t="s">
        <v>208</v>
      </c>
    </row>
    <row r="54" spans="1:13" x14ac:dyDescent="0.3">
      <c r="A54" s="7" t="s">
        <v>209</v>
      </c>
      <c r="B54" s="8">
        <v>45574</v>
      </c>
      <c r="C54" s="7" t="s">
        <v>210</v>
      </c>
      <c r="D54" s="7" t="s">
        <v>39</v>
      </c>
      <c r="E54" s="7" t="s">
        <v>49</v>
      </c>
      <c r="F54" s="7" t="s">
        <v>99</v>
      </c>
      <c r="G54" s="7" t="s">
        <v>77</v>
      </c>
      <c r="H54" s="7" t="s">
        <v>71</v>
      </c>
      <c r="I54" s="7">
        <v>2</v>
      </c>
      <c r="J54" s="9">
        <v>95000</v>
      </c>
      <c r="K54" s="7">
        <v>15</v>
      </c>
      <c r="L54" s="7" t="s">
        <v>51</v>
      </c>
      <c r="M54" s="7" t="s">
        <v>100</v>
      </c>
    </row>
    <row r="55" spans="1:13" x14ac:dyDescent="0.3">
      <c r="A55" s="10" t="s">
        <v>211</v>
      </c>
      <c r="B55" s="11">
        <v>45495</v>
      </c>
      <c r="C55" s="10" t="s">
        <v>212</v>
      </c>
      <c r="D55" s="10" t="s">
        <v>81</v>
      </c>
      <c r="E55" s="10" t="s">
        <v>70</v>
      </c>
      <c r="F55" s="10" t="s">
        <v>82</v>
      </c>
      <c r="G55" s="10" t="s">
        <v>77</v>
      </c>
      <c r="H55" s="10" t="s">
        <v>66</v>
      </c>
      <c r="I55" s="10">
        <v>19</v>
      </c>
      <c r="J55" s="12">
        <v>220000</v>
      </c>
      <c r="K55" s="10">
        <v>20</v>
      </c>
      <c r="L55" s="10" t="s">
        <v>44</v>
      </c>
      <c r="M55" s="10" t="s">
        <v>103</v>
      </c>
    </row>
    <row r="56" spans="1:13" x14ac:dyDescent="0.3">
      <c r="A56" s="7" t="s">
        <v>213</v>
      </c>
      <c r="B56" s="8">
        <v>45622</v>
      </c>
      <c r="C56" s="7" t="s">
        <v>214</v>
      </c>
      <c r="D56" s="7" t="s">
        <v>39</v>
      </c>
      <c r="E56" s="7" t="s">
        <v>70</v>
      </c>
      <c r="F56" s="7" t="s">
        <v>76</v>
      </c>
      <c r="G56" s="7" t="s">
        <v>77</v>
      </c>
      <c r="H56" s="7" t="s">
        <v>71</v>
      </c>
      <c r="I56" s="7">
        <v>18</v>
      </c>
      <c r="J56" s="9">
        <v>180000</v>
      </c>
      <c r="K56" s="7">
        <v>5</v>
      </c>
      <c r="L56" s="7" t="s">
        <v>131</v>
      </c>
      <c r="M56" s="7" t="s">
        <v>142</v>
      </c>
    </row>
    <row r="57" spans="1:13" x14ac:dyDescent="0.3">
      <c r="A57" s="10" t="s">
        <v>215</v>
      </c>
      <c r="B57" s="11">
        <v>45474</v>
      </c>
      <c r="C57" s="10" t="s">
        <v>216</v>
      </c>
      <c r="D57" s="10" t="s">
        <v>75</v>
      </c>
      <c r="E57" s="10" t="s">
        <v>40</v>
      </c>
      <c r="F57" s="10" t="s">
        <v>76</v>
      </c>
      <c r="G57" s="10" t="s">
        <v>77</v>
      </c>
      <c r="H57" s="10" t="s">
        <v>71</v>
      </c>
      <c r="I57" s="10">
        <v>3</v>
      </c>
      <c r="J57" s="12">
        <v>180000</v>
      </c>
      <c r="K57" s="10">
        <v>20</v>
      </c>
      <c r="L57" s="10" t="s">
        <v>86</v>
      </c>
      <c r="M57" s="10" t="s">
        <v>142</v>
      </c>
    </row>
    <row r="58" spans="1:13" x14ac:dyDescent="0.3">
      <c r="A58" s="7" t="s">
        <v>113</v>
      </c>
      <c r="B58" s="8">
        <v>45376</v>
      </c>
      <c r="C58" s="7" t="s">
        <v>114</v>
      </c>
      <c r="D58" s="7" t="s">
        <v>55</v>
      </c>
      <c r="E58" s="7" t="s">
        <v>49</v>
      </c>
      <c r="F58" s="7" t="s">
        <v>61</v>
      </c>
      <c r="G58" s="7" t="s">
        <v>42</v>
      </c>
      <c r="H58" s="7" t="s">
        <v>71</v>
      </c>
      <c r="I58" s="7">
        <v>10</v>
      </c>
      <c r="J58" s="9">
        <v>22000</v>
      </c>
      <c r="K58" s="7">
        <v>5</v>
      </c>
      <c r="L58" s="7" t="s">
        <v>51</v>
      </c>
      <c r="M58" s="7" t="s">
        <v>115</v>
      </c>
    </row>
    <row r="59" spans="1:13" x14ac:dyDescent="0.3">
      <c r="A59" s="10" t="s">
        <v>217</v>
      </c>
      <c r="B59" s="11">
        <v>45355</v>
      </c>
      <c r="C59" s="10" t="s">
        <v>218</v>
      </c>
      <c r="D59" s="10" t="s">
        <v>75</v>
      </c>
      <c r="E59" s="10" t="s">
        <v>49</v>
      </c>
      <c r="F59" s="10" t="s">
        <v>92</v>
      </c>
      <c r="G59" s="10" t="s">
        <v>77</v>
      </c>
      <c r="H59" s="10" t="s">
        <v>66</v>
      </c>
      <c r="I59" s="10">
        <v>19</v>
      </c>
      <c r="J59" s="12">
        <v>450000</v>
      </c>
      <c r="K59" s="10">
        <v>0</v>
      </c>
      <c r="L59" s="10" t="s">
        <v>51</v>
      </c>
      <c r="M59" s="10" t="s">
        <v>168</v>
      </c>
    </row>
    <row r="60" spans="1:13" x14ac:dyDescent="0.3">
      <c r="A60" s="7" t="s">
        <v>219</v>
      </c>
      <c r="B60" s="8">
        <v>45545</v>
      </c>
      <c r="C60" s="7" t="s">
        <v>220</v>
      </c>
      <c r="D60" s="7" t="s">
        <v>154</v>
      </c>
      <c r="E60" s="7" t="s">
        <v>49</v>
      </c>
      <c r="F60" s="7" t="s">
        <v>76</v>
      </c>
      <c r="G60" s="7" t="s">
        <v>77</v>
      </c>
      <c r="H60" s="7" t="s">
        <v>43</v>
      </c>
      <c r="I60" s="7">
        <v>3</v>
      </c>
      <c r="J60" s="9">
        <v>180000</v>
      </c>
      <c r="K60" s="7">
        <v>10</v>
      </c>
      <c r="L60" s="7" t="s">
        <v>86</v>
      </c>
      <c r="M60" s="7" t="s">
        <v>221</v>
      </c>
    </row>
    <row r="61" spans="1:13" x14ac:dyDescent="0.3">
      <c r="A61" s="10" t="s">
        <v>222</v>
      </c>
      <c r="B61" s="11">
        <v>45530</v>
      </c>
      <c r="C61" s="10" t="s">
        <v>223</v>
      </c>
      <c r="D61" s="10" t="s">
        <v>141</v>
      </c>
      <c r="E61" s="10" t="s">
        <v>70</v>
      </c>
      <c r="F61" s="10" t="s">
        <v>50</v>
      </c>
      <c r="G61" s="10" t="s">
        <v>42</v>
      </c>
      <c r="H61" s="10" t="s">
        <v>66</v>
      </c>
      <c r="I61" s="10">
        <v>3</v>
      </c>
      <c r="J61" s="12">
        <v>18000</v>
      </c>
      <c r="K61" s="10">
        <v>10</v>
      </c>
      <c r="L61" s="10" t="s">
        <v>51</v>
      </c>
      <c r="M61" s="10" t="s">
        <v>123</v>
      </c>
    </row>
    <row r="62" spans="1:13" x14ac:dyDescent="0.3">
      <c r="A62" s="7" t="s">
        <v>224</v>
      </c>
      <c r="B62" s="8">
        <v>45634</v>
      </c>
      <c r="C62" s="7" t="s">
        <v>225</v>
      </c>
      <c r="D62" s="7" t="s">
        <v>39</v>
      </c>
      <c r="E62" s="7" t="s">
        <v>70</v>
      </c>
      <c r="F62" s="7" t="s">
        <v>92</v>
      </c>
      <c r="G62" s="7" t="s">
        <v>77</v>
      </c>
      <c r="H62" s="7" t="s">
        <v>66</v>
      </c>
      <c r="I62" s="7">
        <v>11</v>
      </c>
      <c r="J62" s="9">
        <v>450000</v>
      </c>
      <c r="K62" s="7">
        <v>15</v>
      </c>
      <c r="L62" s="7" t="s">
        <v>44</v>
      </c>
      <c r="M62" s="7" t="s">
        <v>168</v>
      </c>
    </row>
    <row r="63" spans="1:13" x14ac:dyDescent="0.3">
      <c r="A63" s="10" t="s">
        <v>226</v>
      </c>
      <c r="B63" s="11">
        <v>45636</v>
      </c>
      <c r="C63" s="10" t="s">
        <v>227</v>
      </c>
      <c r="D63" s="10" t="s">
        <v>75</v>
      </c>
      <c r="E63" s="10" t="s">
        <v>56</v>
      </c>
      <c r="F63" s="10" t="s">
        <v>82</v>
      </c>
      <c r="G63" s="10" t="s">
        <v>77</v>
      </c>
      <c r="H63" s="10" t="s">
        <v>66</v>
      </c>
      <c r="I63" s="10">
        <v>19</v>
      </c>
      <c r="J63" s="12">
        <v>220000</v>
      </c>
      <c r="K63" s="10">
        <v>0</v>
      </c>
      <c r="L63" s="10" t="s">
        <v>86</v>
      </c>
      <c r="M63" s="10" t="s">
        <v>103</v>
      </c>
    </row>
    <row r="64" spans="1:13" x14ac:dyDescent="0.3">
      <c r="A64" s="7" t="s">
        <v>228</v>
      </c>
      <c r="B64" s="8">
        <v>45401</v>
      </c>
      <c r="C64" s="7" t="s">
        <v>229</v>
      </c>
      <c r="D64" s="7" t="s">
        <v>118</v>
      </c>
      <c r="E64" s="7" t="s">
        <v>56</v>
      </c>
      <c r="F64" s="7" t="s">
        <v>61</v>
      </c>
      <c r="G64" s="7" t="s">
        <v>42</v>
      </c>
      <c r="H64" s="7" t="s">
        <v>71</v>
      </c>
      <c r="I64" s="7">
        <v>7</v>
      </c>
      <c r="J64" s="9">
        <v>22000</v>
      </c>
      <c r="K64" s="7">
        <v>15</v>
      </c>
      <c r="L64" s="7" t="s">
        <v>86</v>
      </c>
      <c r="M64" s="7" t="s">
        <v>115</v>
      </c>
    </row>
    <row r="65" spans="1:13" x14ac:dyDescent="0.3">
      <c r="A65" s="10" t="s">
        <v>230</v>
      </c>
      <c r="B65" s="11">
        <v>45513</v>
      </c>
      <c r="C65" s="10" t="s">
        <v>231</v>
      </c>
      <c r="D65" s="10" t="s">
        <v>141</v>
      </c>
      <c r="E65" s="10" t="s">
        <v>56</v>
      </c>
      <c r="F65" s="10" t="s">
        <v>99</v>
      </c>
      <c r="G65" s="10" t="s">
        <v>77</v>
      </c>
      <c r="H65" s="10" t="s">
        <v>66</v>
      </c>
      <c r="I65" s="10">
        <v>1</v>
      </c>
      <c r="J65" s="12">
        <v>95000</v>
      </c>
      <c r="K65" s="10">
        <v>10</v>
      </c>
      <c r="L65" s="10" t="s">
        <v>131</v>
      </c>
      <c r="M65" s="10" t="s">
        <v>232</v>
      </c>
    </row>
    <row r="66" spans="1:13" x14ac:dyDescent="0.3">
      <c r="A66" s="7" t="s">
        <v>233</v>
      </c>
      <c r="B66" s="8">
        <v>45506</v>
      </c>
      <c r="C66" s="7" t="s">
        <v>234</v>
      </c>
      <c r="D66" s="7" t="s">
        <v>48</v>
      </c>
      <c r="E66" s="7" t="s">
        <v>49</v>
      </c>
      <c r="F66" s="7" t="s">
        <v>61</v>
      </c>
      <c r="G66" s="7" t="s">
        <v>42</v>
      </c>
      <c r="H66" s="7" t="s">
        <v>66</v>
      </c>
      <c r="I66" s="7">
        <v>13</v>
      </c>
      <c r="J66" s="9">
        <v>22000</v>
      </c>
      <c r="K66" s="7">
        <v>20</v>
      </c>
      <c r="L66" s="7" t="s">
        <v>51</v>
      </c>
      <c r="M66" s="7" t="s">
        <v>87</v>
      </c>
    </row>
    <row r="67" spans="1:13" x14ac:dyDescent="0.3">
      <c r="A67" s="10" t="s">
        <v>235</v>
      </c>
      <c r="B67" s="11">
        <v>45467</v>
      </c>
      <c r="C67" s="10" t="s">
        <v>236</v>
      </c>
      <c r="D67" s="10" t="s">
        <v>39</v>
      </c>
      <c r="E67" s="10" t="s">
        <v>237</v>
      </c>
      <c r="F67" s="10" t="s">
        <v>99</v>
      </c>
      <c r="G67" s="10" t="s">
        <v>77</v>
      </c>
      <c r="H67" s="10" t="s">
        <v>238</v>
      </c>
      <c r="I67" s="10">
        <v>16</v>
      </c>
      <c r="J67" s="12">
        <v>95000</v>
      </c>
      <c r="K67" s="10">
        <v>0</v>
      </c>
      <c r="L67" s="10" t="s">
        <v>239</v>
      </c>
      <c r="M67" s="10" t="s">
        <v>240</v>
      </c>
    </row>
    <row r="68" spans="1:13" x14ac:dyDescent="0.3">
      <c r="A68" s="7" t="s">
        <v>241</v>
      </c>
      <c r="B68" s="8">
        <v>45544</v>
      </c>
      <c r="C68" s="7" t="s">
        <v>242</v>
      </c>
      <c r="D68" s="7" t="s">
        <v>65</v>
      </c>
      <c r="E68" s="7"/>
      <c r="F68" s="7" t="s">
        <v>61</v>
      </c>
      <c r="G68" s="7" t="s">
        <v>42</v>
      </c>
      <c r="H68" s="7" t="s">
        <v>71</v>
      </c>
      <c r="I68" s="7">
        <v>14</v>
      </c>
      <c r="J68" s="9">
        <v>22000</v>
      </c>
      <c r="K68" s="7"/>
      <c r="L68" s="7" t="s">
        <v>131</v>
      </c>
      <c r="M68" s="7" t="s">
        <v>115</v>
      </c>
    </row>
    <row r="69" spans="1:13" x14ac:dyDescent="0.3">
      <c r="A69" s="10" t="s">
        <v>243</v>
      </c>
      <c r="B69" s="11">
        <v>45362</v>
      </c>
      <c r="C69" s="10" t="s">
        <v>244</v>
      </c>
      <c r="D69" s="10" t="s">
        <v>118</v>
      </c>
      <c r="E69" s="10" t="s">
        <v>56</v>
      </c>
      <c r="F69" s="10" t="s">
        <v>92</v>
      </c>
      <c r="G69" s="10" t="s">
        <v>77</v>
      </c>
      <c r="H69" s="10" t="s">
        <v>71</v>
      </c>
      <c r="I69" s="10">
        <v>20</v>
      </c>
      <c r="J69" s="12">
        <v>450000</v>
      </c>
      <c r="K69" s="10">
        <v>0</v>
      </c>
      <c r="L69" s="10" t="s">
        <v>86</v>
      </c>
      <c r="M69" s="10" t="s">
        <v>93</v>
      </c>
    </row>
    <row r="70" spans="1:13" x14ac:dyDescent="0.3">
      <c r="A70" s="7" t="s">
        <v>150</v>
      </c>
      <c r="B70" s="8">
        <v>45379</v>
      </c>
      <c r="C70" s="7" t="s">
        <v>151</v>
      </c>
      <c r="D70" s="7" t="s">
        <v>75</v>
      </c>
      <c r="E70" s="7" t="s">
        <v>49</v>
      </c>
      <c r="F70" s="7" t="s">
        <v>50</v>
      </c>
      <c r="G70" s="7" t="s">
        <v>42</v>
      </c>
      <c r="H70" s="7" t="s">
        <v>43</v>
      </c>
      <c r="I70" s="7">
        <v>7</v>
      </c>
      <c r="J70" s="9">
        <v>18000</v>
      </c>
      <c r="K70" s="7">
        <v>0</v>
      </c>
      <c r="L70" s="7" t="s">
        <v>51</v>
      </c>
      <c r="M70" s="7" t="s">
        <v>52</v>
      </c>
    </row>
    <row r="71" spans="1:13" x14ac:dyDescent="0.3">
      <c r="A71" s="10" t="s">
        <v>245</v>
      </c>
      <c r="B71" s="11">
        <v>45349</v>
      </c>
      <c r="C71" s="10" t="s">
        <v>246</v>
      </c>
      <c r="D71" s="10"/>
      <c r="E71" s="10" t="s">
        <v>56</v>
      </c>
      <c r="F71" s="10" t="s">
        <v>76</v>
      </c>
      <c r="G71" s="10" t="s">
        <v>77</v>
      </c>
      <c r="H71" s="10" t="s">
        <v>66</v>
      </c>
      <c r="I71" s="10">
        <v>17</v>
      </c>
      <c r="J71" s="12">
        <v>180000</v>
      </c>
      <c r="K71" s="10">
        <v>0</v>
      </c>
      <c r="L71" s="10" t="s">
        <v>51</v>
      </c>
      <c r="M71" s="10" t="s">
        <v>78</v>
      </c>
    </row>
    <row r="72" spans="1:13" x14ac:dyDescent="0.3">
      <c r="A72" s="7" t="s">
        <v>247</v>
      </c>
      <c r="B72" s="8">
        <v>45554</v>
      </c>
      <c r="C72" s="7" t="s">
        <v>248</v>
      </c>
      <c r="D72" s="7" t="s">
        <v>65</v>
      </c>
      <c r="E72" s="7" t="s">
        <v>173</v>
      </c>
      <c r="F72" s="7" t="s">
        <v>61</v>
      </c>
      <c r="G72" s="7" t="s">
        <v>42</v>
      </c>
      <c r="H72" s="7" t="s">
        <v>43</v>
      </c>
      <c r="I72" s="7">
        <v>5</v>
      </c>
      <c r="J72" s="9">
        <v>22000</v>
      </c>
      <c r="K72" s="7">
        <v>20</v>
      </c>
      <c r="L72" s="7" t="s">
        <v>164</v>
      </c>
      <c r="M72" s="7" t="s">
        <v>62</v>
      </c>
    </row>
    <row r="73" spans="1:13" x14ac:dyDescent="0.3">
      <c r="A73" s="10" t="s">
        <v>249</v>
      </c>
      <c r="B73" s="11">
        <v>45308</v>
      </c>
      <c r="C73" s="10" t="s">
        <v>250</v>
      </c>
      <c r="D73" s="10" t="s">
        <v>75</v>
      </c>
      <c r="E73" s="10" t="s">
        <v>56</v>
      </c>
      <c r="F73" s="10" t="s">
        <v>92</v>
      </c>
      <c r="G73" s="10" t="s">
        <v>77</v>
      </c>
      <c r="H73" s="10" t="s">
        <v>43</v>
      </c>
      <c r="I73" s="10">
        <v>19</v>
      </c>
      <c r="J73" s="12">
        <v>450000</v>
      </c>
      <c r="K73" s="10">
        <v>0</v>
      </c>
      <c r="L73" s="10" t="s">
        <v>51</v>
      </c>
      <c r="M73" s="10" t="s">
        <v>106</v>
      </c>
    </row>
    <row r="74" spans="1:13" x14ac:dyDescent="0.3">
      <c r="A74" s="7" t="s">
        <v>251</v>
      </c>
      <c r="B74" s="8">
        <v>45525</v>
      </c>
      <c r="C74" s="7" t="s">
        <v>252</v>
      </c>
      <c r="D74" s="7" t="s">
        <v>55</v>
      </c>
      <c r="E74" s="7" t="s">
        <v>40</v>
      </c>
      <c r="F74" s="7" t="s">
        <v>92</v>
      </c>
      <c r="G74" s="7" t="s">
        <v>77</v>
      </c>
      <c r="H74" s="7" t="s">
        <v>66</v>
      </c>
      <c r="I74" s="7">
        <v>11</v>
      </c>
      <c r="J74" s="9">
        <v>450000</v>
      </c>
      <c r="K74" s="7">
        <v>0</v>
      </c>
      <c r="L74" s="7" t="s">
        <v>51</v>
      </c>
      <c r="M74" s="7" t="s">
        <v>168</v>
      </c>
    </row>
    <row r="75" spans="1:13" x14ac:dyDescent="0.3">
      <c r="A75" s="10" t="s">
        <v>253</v>
      </c>
      <c r="B75" s="11">
        <v>45439</v>
      </c>
      <c r="C75" s="10" t="s">
        <v>254</v>
      </c>
      <c r="D75" s="10" t="s">
        <v>48</v>
      </c>
      <c r="E75" s="10" t="s">
        <v>70</v>
      </c>
      <c r="F75" s="10" t="s">
        <v>99</v>
      </c>
      <c r="G75" s="10" t="s">
        <v>77</v>
      </c>
      <c r="H75" s="10" t="s">
        <v>71</v>
      </c>
      <c r="I75" s="10">
        <v>13</v>
      </c>
      <c r="J75" s="12">
        <v>95000</v>
      </c>
      <c r="K75" s="10">
        <v>5</v>
      </c>
      <c r="L75" s="10" t="s">
        <v>51</v>
      </c>
      <c r="M75" s="10" t="s">
        <v>100</v>
      </c>
    </row>
    <row r="76" spans="1:13" x14ac:dyDescent="0.3">
      <c r="A76" s="7" t="s">
        <v>255</v>
      </c>
      <c r="B76" s="8">
        <v>45429</v>
      </c>
      <c r="C76" s="7" t="s">
        <v>256</v>
      </c>
      <c r="D76" s="7" t="s">
        <v>81</v>
      </c>
      <c r="E76" s="7" t="s">
        <v>70</v>
      </c>
      <c r="F76" s="7" t="s">
        <v>92</v>
      </c>
      <c r="G76" s="7" t="s">
        <v>77</v>
      </c>
      <c r="H76" s="7" t="s">
        <v>71</v>
      </c>
      <c r="I76" s="7">
        <v>2</v>
      </c>
      <c r="J76" s="9">
        <v>450000</v>
      </c>
      <c r="K76" s="7">
        <v>0</v>
      </c>
      <c r="L76" s="7" t="s">
        <v>44</v>
      </c>
      <c r="M76" s="7" t="s">
        <v>93</v>
      </c>
    </row>
    <row r="77" spans="1:13" x14ac:dyDescent="0.3">
      <c r="A77" s="10" t="s">
        <v>257</v>
      </c>
      <c r="B77" s="11">
        <v>45355</v>
      </c>
      <c r="C77" s="10" t="s">
        <v>258</v>
      </c>
      <c r="D77" s="10" t="s">
        <v>81</v>
      </c>
      <c r="E77" s="10" t="s">
        <v>40</v>
      </c>
      <c r="F77" s="10" t="s">
        <v>92</v>
      </c>
      <c r="G77" s="10" t="s">
        <v>77</v>
      </c>
      <c r="H77" s="10" t="s">
        <v>66</v>
      </c>
      <c r="I77" s="10">
        <v>18</v>
      </c>
      <c r="J77" s="12">
        <v>450000</v>
      </c>
      <c r="K77" s="10">
        <v>0</v>
      </c>
      <c r="L77" s="10" t="s">
        <v>51</v>
      </c>
      <c r="M77" s="10" t="s">
        <v>168</v>
      </c>
    </row>
    <row r="78" spans="1:13" x14ac:dyDescent="0.3">
      <c r="A78" s="7" t="s">
        <v>259</v>
      </c>
      <c r="B78" s="8">
        <v>45630</v>
      </c>
      <c r="C78" s="7" t="s">
        <v>260</v>
      </c>
      <c r="D78" s="7" t="s">
        <v>55</v>
      </c>
      <c r="E78" s="7" t="s">
        <v>70</v>
      </c>
      <c r="F78" s="7" t="s">
        <v>82</v>
      </c>
      <c r="G78" s="7" t="s">
        <v>77</v>
      </c>
      <c r="H78" s="7" t="s">
        <v>43</v>
      </c>
      <c r="I78" s="7">
        <v>8</v>
      </c>
      <c r="J78" s="9">
        <v>220000</v>
      </c>
      <c r="K78" s="7">
        <v>0</v>
      </c>
      <c r="L78" s="7" t="s">
        <v>44</v>
      </c>
      <c r="M78" s="7" t="s">
        <v>204</v>
      </c>
    </row>
    <row r="79" spans="1:13" x14ac:dyDescent="0.3">
      <c r="A79" s="10" t="s">
        <v>261</v>
      </c>
      <c r="B79" s="11">
        <v>45637</v>
      </c>
      <c r="C79" s="10" t="s">
        <v>262</v>
      </c>
      <c r="D79" s="10" t="s">
        <v>109</v>
      </c>
      <c r="E79" s="10" t="s">
        <v>56</v>
      </c>
      <c r="F79" s="10" t="s">
        <v>57</v>
      </c>
      <c r="G79" s="10" t="s">
        <v>42</v>
      </c>
      <c r="H79" s="10" t="s">
        <v>71</v>
      </c>
      <c r="I79" s="10">
        <v>2</v>
      </c>
      <c r="J79" s="12">
        <v>28000</v>
      </c>
      <c r="K79" s="10">
        <v>5</v>
      </c>
      <c r="L79" s="10" t="s">
        <v>51</v>
      </c>
      <c r="M79" s="10" t="s">
        <v>96</v>
      </c>
    </row>
    <row r="80" spans="1:13" x14ac:dyDescent="0.3">
      <c r="A80" s="7" t="s">
        <v>263</v>
      </c>
      <c r="B80" s="8">
        <v>45448</v>
      </c>
      <c r="C80" s="7" t="s">
        <v>148</v>
      </c>
      <c r="D80" s="7" t="s">
        <v>65</v>
      </c>
      <c r="E80" s="7" t="s">
        <v>40</v>
      </c>
      <c r="F80" s="7" t="s">
        <v>82</v>
      </c>
      <c r="G80" s="7" t="s">
        <v>77</v>
      </c>
      <c r="H80" s="7" t="s">
        <v>43</v>
      </c>
      <c r="I80" s="7">
        <v>7</v>
      </c>
      <c r="J80" s="9">
        <v>220000</v>
      </c>
      <c r="K80" s="7">
        <v>20</v>
      </c>
      <c r="L80" s="7" t="s">
        <v>51</v>
      </c>
      <c r="M80" s="7" t="s">
        <v>204</v>
      </c>
    </row>
    <row r="81" spans="1:13" x14ac:dyDescent="0.3">
      <c r="A81" s="10" t="s">
        <v>264</v>
      </c>
      <c r="B81" s="11">
        <v>45339</v>
      </c>
      <c r="C81" s="10" t="s">
        <v>265</v>
      </c>
      <c r="D81" s="10" t="s">
        <v>141</v>
      </c>
      <c r="E81" s="10" t="s">
        <v>56</v>
      </c>
      <c r="F81" s="10" t="s">
        <v>76</v>
      </c>
      <c r="G81" s="10" t="s">
        <v>77</v>
      </c>
      <c r="H81" s="10" t="s">
        <v>71</v>
      </c>
      <c r="I81" s="10">
        <v>19</v>
      </c>
      <c r="J81" s="12">
        <v>180000</v>
      </c>
      <c r="K81" s="10">
        <v>20</v>
      </c>
      <c r="L81" s="10" t="s">
        <v>86</v>
      </c>
      <c r="M81" s="10" t="s">
        <v>142</v>
      </c>
    </row>
    <row r="82" spans="1:13" x14ac:dyDescent="0.3">
      <c r="A82" s="7" t="s">
        <v>266</v>
      </c>
      <c r="B82" s="8">
        <v>45345</v>
      </c>
      <c r="C82" s="7" t="s">
        <v>267</v>
      </c>
      <c r="D82" s="7" t="s">
        <v>55</v>
      </c>
      <c r="E82" s="7" t="s">
        <v>56</v>
      </c>
      <c r="F82" s="7" t="s">
        <v>76</v>
      </c>
      <c r="G82" s="7" t="s">
        <v>77</v>
      </c>
      <c r="H82" s="7" t="s">
        <v>43</v>
      </c>
      <c r="I82" s="7">
        <v>14</v>
      </c>
      <c r="J82" s="9">
        <v>180000</v>
      </c>
      <c r="K82" s="7">
        <v>15</v>
      </c>
      <c r="L82" s="7" t="s">
        <v>44</v>
      </c>
      <c r="M82" s="7" t="s">
        <v>221</v>
      </c>
    </row>
    <row r="83" spans="1:13" x14ac:dyDescent="0.3">
      <c r="A83" s="10" t="s">
        <v>268</v>
      </c>
      <c r="B83" s="11">
        <v>45482</v>
      </c>
      <c r="C83" s="10" t="s">
        <v>269</v>
      </c>
      <c r="D83" s="10" t="s">
        <v>81</v>
      </c>
      <c r="E83" s="10" t="s">
        <v>56</v>
      </c>
      <c r="F83" s="10" t="s">
        <v>82</v>
      </c>
      <c r="G83" s="10" t="s">
        <v>77</v>
      </c>
      <c r="H83" s="10" t="s">
        <v>71</v>
      </c>
      <c r="I83" s="10">
        <v>20</v>
      </c>
      <c r="J83" s="12">
        <v>220000</v>
      </c>
      <c r="K83" s="10">
        <v>5</v>
      </c>
      <c r="L83" s="10" t="s">
        <v>51</v>
      </c>
      <c r="M83" s="10" t="s">
        <v>83</v>
      </c>
    </row>
    <row r="84" spans="1:13" x14ac:dyDescent="0.3">
      <c r="A84" s="7" t="s">
        <v>270</v>
      </c>
      <c r="B84" s="8">
        <v>45399</v>
      </c>
      <c r="C84" s="7" t="s">
        <v>271</v>
      </c>
      <c r="D84" s="7" t="s">
        <v>109</v>
      </c>
      <c r="E84" s="7" t="s">
        <v>70</v>
      </c>
      <c r="F84" s="7" t="s">
        <v>92</v>
      </c>
      <c r="G84" s="7" t="s">
        <v>77</v>
      </c>
      <c r="H84" s="7" t="s">
        <v>66</v>
      </c>
      <c r="I84" s="7">
        <v>5</v>
      </c>
      <c r="J84" s="9">
        <v>450000</v>
      </c>
      <c r="K84" s="7">
        <v>0</v>
      </c>
      <c r="L84" s="7" t="s">
        <v>51</v>
      </c>
      <c r="M84" s="7" t="s">
        <v>168</v>
      </c>
    </row>
    <row r="85" spans="1:13" x14ac:dyDescent="0.3">
      <c r="A85" s="10" t="s">
        <v>272</v>
      </c>
      <c r="B85" s="11">
        <v>45350</v>
      </c>
      <c r="C85" s="10" t="s">
        <v>273</v>
      </c>
      <c r="D85" s="10" t="s">
        <v>154</v>
      </c>
      <c r="E85" s="10" t="s">
        <v>40</v>
      </c>
      <c r="F85" s="10" t="s">
        <v>82</v>
      </c>
      <c r="G85" s="10" t="s">
        <v>77</v>
      </c>
      <c r="H85" s="10" t="s">
        <v>196</v>
      </c>
      <c r="I85" s="10">
        <v>11</v>
      </c>
      <c r="J85" s="12">
        <v>220000</v>
      </c>
      <c r="K85" s="10">
        <v>15</v>
      </c>
      <c r="L85" s="10" t="s">
        <v>86</v>
      </c>
      <c r="M85" s="10" t="s">
        <v>274</v>
      </c>
    </row>
    <row r="86" spans="1:13" x14ac:dyDescent="0.3">
      <c r="A86" s="7" t="s">
        <v>275</v>
      </c>
      <c r="B86" s="8">
        <v>45415</v>
      </c>
      <c r="C86" s="7" t="s">
        <v>276</v>
      </c>
      <c r="D86" s="7" t="s">
        <v>75</v>
      </c>
      <c r="E86" s="7" t="s">
        <v>162</v>
      </c>
      <c r="F86" s="7" t="s">
        <v>50</v>
      </c>
      <c r="G86" s="7" t="s">
        <v>42</v>
      </c>
      <c r="H86" s="7" t="s">
        <v>196</v>
      </c>
      <c r="I86" s="7">
        <v>6</v>
      </c>
      <c r="J86" s="9">
        <v>1</v>
      </c>
      <c r="K86" s="7">
        <v>15</v>
      </c>
      <c r="L86" s="7" t="s">
        <v>44</v>
      </c>
      <c r="M86" s="7" t="s">
        <v>277</v>
      </c>
    </row>
    <row r="87" spans="1:13" x14ac:dyDescent="0.3">
      <c r="A87" s="10" t="s">
        <v>278</v>
      </c>
      <c r="B87" s="11">
        <v>45614</v>
      </c>
      <c r="C87" s="10" t="s">
        <v>279</v>
      </c>
      <c r="D87" s="10" t="s">
        <v>48</v>
      </c>
      <c r="E87" s="10" t="s">
        <v>49</v>
      </c>
      <c r="F87" s="10" t="s">
        <v>41</v>
      </c>
      <c r="G87" s="10" t="s">
        <v>42</v>
      </c>
      <c r="H87" s="10" t="s">
        <v>43</v>
      </c>
      <c r="I87" s="10">
        <v>9</v>
      </c>
      <c r="J87" s="12">
        <v>35000</v>
      </c>
      <c r="K87" s="10">
        <v>0</v>
      </c>
      <c r="L87" s="10" t="s">
        <v>51</v>
      </c>
      <c r="M87" s="10" t="s">
        <v>45</v>
      </c>
    </row>
    <row r="88" spans="1:13" x14ac:dyDescent="0.3">
      <c r="A88" s="7" t="s">
        <v>280</v>
      </c>
      <c r="B88" s="8">
        <v>45405</v>
      </c>
      <c r="C88" s="7" t="s">
        <v>281</v>
      </c>
      <c r="D88" s="7" t="s">
        <v>141</v>
      </c>
      <c r="E88" s="7" t="s">
        <v>49</v>
      </c>
      <c r="F88" s="7" t="s">
        <v>50</v>
      </c>
      <c r="G88" s="7" t="s">
        <v>42</v>
      </c>
      <c r="H88" s="7" t="s">
        <v>71</v>
      </c>
      <c r="I88" s="7">
        <v>17</v>
      </c>
      <c r="J88" s="9">
        <v>18000</v>
      </c>
      <c r="K88" s="7">
        <v>10</v>
      </c>
      <c r="L88" s="7" t="s">
        <v>51</v>
      </c>
      <c r="M88" s="7" t="s">
        <v>72</v>
      </c>
    </row>
    <row r="89" spans="1:13" x14ac:dyDescent="0.3">
      <c r="A89" s="10" t="s">
        <v>282</v>
      </c>
      <c r="B89" s="11">
        <v>45572</v>
      </c>
      <c r="C89" s="10" t="s">
        <v>283</v>
      </c>
      <c r="D89" s="10" t="s">
        <v>65</v>
      </c>
      <c r="E89" s="10" t="s">
        <v>70</v>
      </c>
      <c r="F89" s="10" t="s">
        <v>76</v>
      </c>
      <c r="G89" s="10" t="s">
        <v>77</v>
      </c>
      <c r="H89" s="10" t="s">
        <v>71</v>
      </c>
      <c r="I89" s="10">
        <v>1</v>
      </c>
      <c r="J89" s="12">
        <v>180000</v>
      </c>
      <c r="K89" s="10">
        <v>15</v>
      </c>
      <c r="L89" s="10" t="s">
        <v>51</v>
      </c>
      <c r="M89" s="10" t="s">
        <v>142</v>
      </c>
    </row>
    <row r="90" spans="1:13" x14ac:dyDescent="0.3">
      <c r="A90" s="7" t="s">
        <v>284</v>
      </c>
      <c r="B90" s="8">
        <v>45640</v>
      </c>
      <c r="C90" s="7" t="s">
        <v>285</v>
      </c>
      <c r="D90" s="7" t="s">
        <v>75</v>
      </c>
      <c r="E90" s="7" t="s">
        <v>70</v>
      </c>
      <c r="F90" s="7" t="s">
        <v>82</v>
      </c>
      <c r="G90" s="7" t="s">
        <v>77</v>
      </c>
      <c r="H90" s="7" t="s">
        <v>43</v>
      </c>
      <c r="I90" s="7">
        <v>11</v>
      </c>
      <c r="J90" s="9">
        <v>220000</v>
      </c>
      <c r="K90" s="7">
        <v>0</v>
      </c>
      <c r="L90" s="7" t="s">
        <v>51</v>
      </c>
      <c r="M90" s="7" t="s">
        <v>204</v>
      </c>
    </row>
    <row r="91" spans="1:13" x14ac:dyDescent="0.3">
      <c r="A91" s="10" t="s">
        <v>286</v>
      </c>
      <c r="B91" s="11">
        <v>45552</v>
      </c>
      <c r="C91" s="10" t="s">
        <v>287</v>
      </c>
      <c r="D91" s="10" t="s">
        <v>65</v>
      </c>
      <c r="E91" s="10" t="s">
        <v>49</v>
      </c>
      <c r="F91" s="10" t="s">
        <v>82</v>
      </c>
      <c r="G91" s="10" t="s">
        <v>77</v>
      </c>
      <c r="H91" s="10" t="s">
        <v>66</v>
      </c>
      <c r="I91" s="10">
        <v>15</v>
      </c>
      <c r="J91" s="12">
        <v>220000</v>
      </c>
      <c r="K91" s="10">
        <v>10</v>
      </c>
      <c r="L91" s="10" t="s">
        <v>51</v>
      </c>
      <c r="M91" s="10" t="s">
        <v>103</v>
      </c>
    </row>
    <row r="92" spans="1:13" x14ac:dyDescent="0.3">
      <c r="A92" s="7" t="s">
        <v>288</v>
      </c>
      <c r="B92" s="8">
        <v>45437</v>
      </c>
      <c r="C92" s="7" t="s">
        <v>289</v>
      </c>
      <c r="D92" s="7" t="s">
        <v>65</v>
      </c>
      <c r="E92" s="7" t="s">
        <v>49</v>
      </c>
      <c r="F92" s="7" t="s">
        <v>61</v>
      </c>
      <c r="G92" s="7" t="s">
        <v>42</v>
      </c>
      <c r="H92" s="7" t="s">
        <v>43</v>
      </c>
      <c r="I92" s="7">
        <v>13</v>
      </c>
      <c r="J92" s="9">
        <v>22000</v>
      </c>
      <c r="K92" s="7">
        <v>15</v>
      </c>
      <c r="L92" s="7" t="s">
        <v>51</v>
      </c>
      <c r="M92" s="7" t="s">
        <v>62</v>
      </c>
    </row>
    <row r="93" spans="1:13" x14ac:dyDescent="0.3">
      <c r="A93" s="10" t="s">
        <v>290</v>
      </c>
      <c r="B93" s="11">
        <v>45294</v>
      </c>
      <c r="C93" s="10" t="s">
        <v>291</v>
      </c>
      <c r="D93" s="10" t="s">
        <v>118</v>
      </c>
      <c r="E93" s="10" t="s">
        <v>40</v>
      </c>
      <c r="F93" s="10" t="s">
        <v>50</v>
      </c>
      <c r="G93" s="10" t="s">
        <v>42</v>
      </c>
      <c r="H93" s="10" t="s">
        <v>66</v>
      </c>
      <c r="I93" s="10">
        <v>16</v>
      </c>
      <c r="J93" s="12">
        <v>18000</v>
      </c>
      <c r="K93" s="10">
        <v>5</v>
      </c>
      <c r="L93" s="10" t="s">
        <v>51</v>
      </c>
      <c r="M93" s="10" t="s">
        <v>123</v>
      </c>
    </row>
    <row r="94" spans="1:13" x14ac:dyDescent="0.3">
      <c r="A94" s="7" t="s">
        <v>292</v>
      </c>
      <c r="B94" s="8">
        <v>45438</v>
      </c>
      <c r="C94" s="7" t="s">
        <v>293</v>
      </c>
      <c r="D94" s="7" t="s">
        <v>39</v>
      </c>
      <c r="E94" s="7" t="s">
        <v>40</v>
      </c>
      <c r="F94" s="7" t="s">
        <v>50</v>
      </c>
      <c r="G94" s="7" t="s">
        <v>42</v>
      </c>
      <c r="H94" s="7" t="s">
        <v>71</v>
      </c>
      <c r="I94" s="7">
        <v>18</v>
      </c>
      <c r="J94" s="9">
        <v>18000</v>
      </c>
      <c r="K94" s="7">
        <v>0</v>
      </c>
      <c r="L94" s="7" t="s">
        <v>44</v>
      </c>
      <c r="M94" s="7" t="s">
        <v>72</v>
      </c>
    </row>
    <row r="95" spans="1:13" x14ac:dyDescent="0.3">
      <c r="A95" s="10" t="s">
        <v>294</v>
      </c>
      <c r="B95" s="11">
        <v>45360</v>
      </c>
      <c r="C95" s="10" t="s">
        <v>295</v>
      </c>
      <c r="D95" s="10" t="s">
        <v>55</v>
      </c>
      <c r="E95" s="10" t="s">
        <v>56</v>
      </c>
      <c r="F95" s="10" t="s">
        <v>50</v>
      </c>
      <c r="G95" s="10" t="s">
        <v>42</v>
      </c>
      <c r="H95" s="10" t="s">
        <v>137</v>
      </c>
      <c r="I95" s="10">
        <v>12</v>
      </c>
      <c r="J95" s="12">
        <v>18000</v>
      </c>
      <c r="K95" s="10">
        <v>0</v>
      </c>
      <c r="L95" s="10" t="s">
        <v>174</v>
      </c>
      <c r="M95" s="10" t="s">
        <v>296</v>
      </c>
    </row>
    <row r="96" spans="1:13" x14ac:dyDescent="0.3">
      <c r="A96" s="7" t="s">
        <v>297</v>
      </c>
      <c r="B96" s="8">
        <v>45475</v>
      </c>
      <c r="C96" s="7" t="s">
        <v>298</v>
      </c>
      <c r="D96" s="7" t="s">
        <v>48</v>
      </c>
      <c r="E96" s="7" t="s">
        <v>49</v>
      </c>
      <c r="F96" s="7" t="s">
        <v>50</v>
      </c>
      <c r="G96" s="7" t="s">
        <v>42</v>
      </c>
      <c r="H96" s="7" t="s">
        <v>71</v>
      </c>
      <c r="I96" s="7">
        <v>4</v>
      </c>
      <c r="J96" s="9">
        <v>18000</v>
      </c>
      <c r="K96" s="7">
        <v>5</v>
      </c>
      <c r="L96" s="7" t="s">
        <v>51</v>
      </c>
      <c r="M96" s="7" t="s">
        <v>72</v>
      </c>
    </row>
    <row r="97" spans="1:13" x14ac:dyDescent="0.3">
      <c r="A97" s="10" t="s">
        <v>299</v>
      </c>
      <c r="B97" s="11">
        <v>45652</v>
      </c>
      <c r="C97" s="10" t="s">
        <v>300</v>
      </c>
      <c r="D97" s="10" t="s">
        <v>109</v>
      </c>
      <c r="E97" s="10" t="s">
        <v>49</v>
      </c>
      <c r="F97" s="10" t="s">
        <v>57</v>
      </c>
      <c r="G97" s="10" t="s">
        <v>42</v>
      </c>
      <c r="H97" s="10" t="s">
        <v>66</v>
      </c>
      <c r="I97" s="10">
        <v>9</v>
      </c>
      <c r="J97" s="12">
        <v>28000</v>
      </c>
      <c r="K97" s="10">
        <v>20</v>
      </c>
      <c r="L97" s="10" t="s">
        <v>44</v>
      </c>
      <c r="M97" s="10" t="s">
        <v>67</v>
      </c>
    </row>
    <row r="98" spans="1:13" x14ac:dyDescent="0.3">
      <c r="A98" s="7" t="s">
        <v>301</v>
      </c>
      <c r="B98" s="8">
        <v>45517</v>
      </c>
      <c r="C98" s="7" t="s">
        <v>302</v>
      </c>
      <c r="D98" s="7" t="s">
        <v>75</v>
      </c>
      <c r="E98" s="7" t="s">
        <v>56</v>
      </c>
      <c r="F98" s="7" t="s">
        <v>61</v>
      </c>
      <c r="G98" s="7" t="s">
        <v>42</v>
      </c>
      <c r="H98" s="7" t="s">
        <v>71</v>
      </c>
      <c r="I98" s="7">
        <v>14</v>
      </c>
      <c r="J98" s="9">
        <v>22000</v>
      </c>
      <c r="K98" s="7">
        <v>0</v>
      </c>
      <c r="L98" s="7" t="s">
        <v>44</v>
      </c>
      <c r="M98" s="7" t="s">
        <v>115</v>
      </c>
    </row>
    <row r="99" spans="1:13" x14ac:dyDescent="0.3">
      <c r="A99" s="10" t="s">
        <v>303</v>
      </c>
      <c r="B99" s="11">
        <v>45562</v>
      </c>
      <c r="C99" s="10" t="s">
        <v>304</v>
      </c>
      <c r="D99" s="10" t="s">
        <v>154</v>
      </c>
      <c r="E99" s="10" t="s">
        <v>40</v>
      </c>
      <c r="F99" s="10" t="s">
        <v>82</v>
      </c>
      <c r="G99" s="10" t="s">
        <v>77</v>
      </c>
      <c r="H99" s="10" t="s">
        <v>66</v>
      </c>
      <c r="I99" s="10">
        <v>2</v>
      </c>
      <c r="J99" s="12">
        <v>220000</v>
      </c>
      <c r="K99" s="10">
        <v>15</v>
      </c>
      <c r="L99" s="10" t="s">
        <v>51</v>
      </c>
      <c r="M99" s="10" t="s">
        <v>103</v>
      </c>
    </row>
    <row r="100" spans="1:13" x14ac:dyDescent="0.3">
      <c r="A100" s="7" t="s">
        <v>305</v>
      </c>
      <c r="B100" s="8">
        <v>45299</v>
      </c>
      <c r="C100" s="7" t="s">
        <v>306</v>
      </c>
      <c r="D100" s="7" t="s">
        <v>81</v>
      </c>
      <c r="E100" s="7" t="s">
        <v>70</v>
      </c>
      <c r="F100" s="7" t="s">
        <v>76</v>
      </c>
      <c r="G100" s="7" t="s">
        <v>77</v>
      </c>
      <c r="H100" s="7" t="s">
        <v>71</v>
      </c>
      <c r="I100" s="7">
        <v>14</v>
      </c>
      <c r="J100" s="9">
        <v>180000</v>
      </c>
      <c r="K100" s="7">
        <v>10</v>
      </c>
      <c r="L100" s="7" t="s">
        <v>51</v>
      </c>
      <c r="M100" s="7" t="s">
        <v>142</v>
      </c>
    </row>
    <row r="101" spans="1:13" x14ac:dyDescent="0.3">
      <c r="A101" s="10" t="s">
        <v>307</v>
      </c>
      <c r="B101" s="11">
        <v>45437</v>
      </c>
      <c r="C101" s="10" t="s">
        <v>308</v>
      </c>
      <c r="D101" s="10" t="s">
        <v>81</v>
      </c>
      <c r="E101" s="10" t="s">
        <v>49</v>
      </c>
      <c r="F101" s="10" t="s">
        <v>61</v>
      </c>
      <c r="G101" s="10" t="s">
        <v>42</v>
      </c>
      <c r="H101" s="10" t="s">
        <v>71</v>
      </c>
      <c r="I101" s="10">
        <v>18</v>
      </c>
      <c r="J101" s="12">
        <v>22000</v>
      </c>
      <c r="K101" s="10">
        <v>20</v>
      </c>
      <c r="L101" s="10" t="s">
        <v>51</v>
      </c>
      <c r="M101" s="10" t="s">
        <v>115</v>
      </c>
    </row>
    <row r="102" spans="1:13" x14ac:dyDescent="0.3">
      <c r="A102" s="7" t="s">
        <v>309</v>
      </c>
      <c r="B102" s="8">
        <v>45421</v>
      </c>
      <c r="C102" s="7" t="s">
        <v>310</v>
      </c>
      <c r="D102" s="7" t="s">
        <v>118</v>
      </c>
      <c r="E102" s="7" t="s">
        <v>49</v>
      </c>
      <c r="F102" s="7" t="s">
        <v>82</v>
      </c>
      <c r="G102" s="7" t="s">
        <v>77</v>
      </c>
      <c r="H102" s="7" t="s">
        <v>71</v>
      </c>
      <c r="I102" s="7">
        <v>8</v>
      </c>
      <c r="J102" s="9">
        <v>220000</v>
      </c>
      <c r="K102" s="7">
        <v>5</v>
      </c>
      <c r="L102" s="7" t="s">
        <v>131</v>
      </c>
      <c r="M102" s="7" t="s">
        <v>83</v>
      </c>
    </row>
    <row r="103" spans="1:13" x14ac:dyDescent="0.3">
      <c r="A103" s="10" t="s">
        <v>311</v>
      </c>
      <c r="B103" s="11">
        <v>45336</v>
      </c>
      <c r="C103" s="10" t="s">
        <v>312</v>
      </c>
      <c r="D103" s="10" t="s">
        <v>55</v>
      </c>
      <c r="E103" s="10" t="s">
        <v>70</v>
      </c>
      <c r="F103" s="10" t="s">
        <v>41</v>
      </c>
      <c r="G103" s="10" t="s">
        <v>42</v>
      </c>
      <c r="H103" s="10" t="s">
        <v>66</v>
      </c>
      <c r="I103" s="10">
        <v>8</v>
      </c>
      <c r="J103" s="12">
        <v>35000</v>
      </c>
      <c r="K103" s="10">
        <v>0</v>
      </c>
      <c r="L103" s="10" t="s">
        <v>44</v>
      </c>
      <c r="M103" s="10" t="s">
        <v>180</v>
      </c>
    </row>
    <row r="104" spans="1:13" x14ac:dyDescent="0.3">
      <c r="A104" s="7" t="s">
        <v>313</v>
      </c>
      <c r="B104" s="8">
        <v>45496</v>
      </c>
      <c r="C104" s="7" t="s">
        <v>314</v>
      </c>
      <c r="D104" s="7" t="s">
        <v>141</v>
      </c>
      <c r="E104" s="7" t="s">
        <v>70</v>
      </c>
      <c r="F104" s="7" t="s">
        <v>99</v>
      </c>
      <c r="G104" s="7" t="s">
        <v>77</v>
      </c>
      <c r="H104" s="7" t="s">
        <v>43</v>
      </c>
      <c r="I104" s="7">
        <v>14</v>
      </c>
      <c r="J104" s="9">
        <v>95000</v>
      </c>
      <c r="K104" s="7">
        <v>0</v>
      </c>
      <c r="L104" s="7" t="s">
        <v>131</v>
      </c>
      <c r="M104" s="7" t="s">
        <v>149</v>
      </c>
    </row>
    <row r="105" spans="1:13" x14ac:dyDescent="0.3">
      <c r="A105" s="10" t="s">
        <v>315</v>
      </c>
      <c r="B105" s="11">
        <v>45427</v>
      </c>
      <c r="C105" s="10" t="s">
        <v>316</v>
      </c>
      <c r="D105" s="10" t="s">
        <v>109</v>
      </c>
      <c r="E105" s="10" t="s">
        <v>40</v>
      </c>
      <c r="F105" s="10" t="s">
        <v>76</v>
      </c>
      <c r="G105" s="10" t="s">
        <v>77</v>
      </c>
      <c r="H105" s="10" t="s">
        <v>43</v>
      </c>
      <c r="I105" s="10">
        <v>3</v>
      </c>
      <c r="J105" s="12">
        <v>180000</v>
      </c>
      <c r="K105" s="10">
        <v>0</v>
      </c>
      <c r="L105" s="10" t="s">
        <v>51</v>
      </c>
      <c r="M105" s="10" t="s">
        <v>221</v>
      </c>
    </row>
    <row r="106" spans="1:13" x14ac:dyDescent="0.3">
      <c r="A106" s="7" t="s">
        <v>317</v>
      </c>
      <c r="B106" s="8">
        <v>45303</v>
      </c>
      <c r="C106" s="7" t="s">
        <v>318</v>
      </c>
      <c r="D106" s="7" t="s">
        <v>75</v>
      </c>
      <c r="E106" s="7" t="s">
        <v>40</v>
      </c>
      <c r="F106" s="7" t="s">
        <v>41</v>
      </c>
      <c r="G106" s="7" t="s">
        <v>42</v>
      </c>
      <c r="H106" s="7" t="s">
        <v>130</v>
      </c>
      <c r="I106" s="7">
        <v>2</v>
      </c>
      <c r="J106" s="9">
        <v>35000</v>
      </c>
      <c r="K106" s="7">
        <v>5</v>
      </c>
      <c r="L106" s="7" t="s">
        <v>44</v>
      </c>
      <c r="M106" s="7" t="s">
        <v>319</v>
      </c>
    </row>
    <row r="107" spans="1:13" x14ac:dyDescent="0.3">
      <c r="A107" s="10" t="s">
        <v>320</v>
      </c>
      <c r="B107" s="11">
        <v>45469</v>
      </c>
      <c r="C107" s="10" t="s">
        <v>321</v>
      </c>
      <c r="D107" s="10" t="s">
        <v>154</v>
      </c>
      <c r="E107" s="10" t="s">
        <v>40</v>
      </c>
      <c r="F107" s="10" t="s">
        <v>92</v>
      </c>
      <c r="G107" s="10" t="s">
        <v>77</v>
      </c>
      <c r="H107" s="10" t="s">
        <v>43</v>
      </c>
      <c r="I107" s="10">
        <v>16</v>
      </c>
      <c r="J107" s="12">
        <v>450000</v>
      </c>
      <c r="K107" s="10">
        <v>0</v>
      </c>
      <c r="L107" s="10" t="s">
        <v>51</v>
      </c>
      <c r="M107" s="10" t="s">
        <v>106</v>
      </c>
    </row>
    <row r="108" spans="1:13" x14ac:dyDescent="0.3">
      <c r="A108" s="7" t="s">
        <v>322</v>
      </c>
      <c r="B108" s="8">
        <v>45501</v>
      </c>
      <c r="C108" s="7" t="s">
        <v>323</v>
      </c>
      <c r="D108" s="7" t="s">
        <v>75</v>
      </c>
      <c r="E108" s="7" t="s">
        <v>56</v>
      </c>
      <c r="F108" s="7" t="s">
        <v>82</v>
      </c>
      <c r="G108" s="7" t="s">
        <v>77</v>
      </c>
      <c r="H108" s="7" t="s">
        <v>66</v>
      </c>
      <c r="I108" s="7">
        <v>17</v>
      </c>
      <c r="J108" s="9">
        <v>220000</v>
      </c>
      <c r="K108" s="7">
        <v>0</v>
      </c>
      <c r="L108" s="7" t="s">
        <v>51</v>
      </c>
      <c r="M108" s="7" t="s">
        <v>103</v>
      </c>
    </row>
    <row r="109" spans="1:13" x14ac:dyDescent="0.3">
      <c r="A109" s="10" t="s">
        <v>324</v>
      </c>
      <c r="B109" s="11">
        <v>45561</v>
      </c>
      <c r="C109" s="10" t="s">
        <v>325</v>
      </c>
      <c r="D109" s="10" t="s">
        <v>141</v>
      </c>
      <c r="E109" s="10" t="s">
        <v>49</v>
      </c>
      <c r="F109" s="10" t="s">
        <v>82</v>
      </c>
      <c r="G109" s="10" t="s">
        <v>77</v>
      </c>
      <c r="H109" s="10" t="s">
        <v>66</v>
      </c>
      <c r="I109" s="10">
        <v>15</v>
      </c>
      <c r="J109" s="12">
        <v>220000</v>
      </c>
      <c r="K109" s="10">
        <v>10</v>
      </c>
      <c r="L109" s="10" t="s">
        <v>51</v>
      </c>
      <c r="M109" s="10" t="s">
        <v>103</v>
      </c>
    </row>
    <row r="110" spans="1:13" x14ac:dyDescent="0.3">
      <c r="A110" s="7" t="s">
        <v>326</v>
      </c>
      <c r="B110" s="8">
        <v>45579</v>
      </c>
      <c r="C110" s="7" t="s">
        <v>327</v>
      </c>
      <c r="D110" s="7" t="s">
        <v>48</v>
      </c>
      <c r="E110" s="7" t="s">
        <v>49</v>
      </c>
      <c r="F110" s="7" t="s">
        <v>82</v>
      </c>
      <c r="G110" s="7" t="s">
        <v>77</v>
      </c>
      <c r="H110" s="7" t="s">
        <v>71</v>
      </c>
      <c r="I110" s="7">
        <v>2</v>
      </c>
      <c r="J110" s="9">
        <v>220000</v>
      </c>
      <c r="K110" s="7">
        <v>0</v>
      </c>
      <c r="L110" s="7" t="s">
        <v>51</v>
      </c>
      <c r="M110" s="7" t="s">
        <v>83</v>
      </c>
    </row>
    <row r="111" spans="1:13" x14ac:dyDescent="0.3">
      <c r="A111" s="10" t="s">
        <v>328</v>
      </c>
      <c r="B111" s="11">
        <v>45599</v>
      </c>
      <c r="C111" s="10" t="s">
        <v>329</v>
      </c>
      <c r="D111" s="10" t="s">
        <v>39</v>
      </c>
      <c r="E111" s="10" t="s">
        <v>70</v>
      </c>
      <c r="F111" s="10" t="s">
        <v>92</v>
      </c>
      <c r="G111" s="10" t="s">
        <v>77</v>
      </c>
      <c r="H111" s="10" t="s">
        <v>71</v>
      </c>
      <c r="I111" s="10">
        <v>7</v>
      </c>
      <c r="J111" s="12">
        <v>450000</v>
      </c>
      <c r="K111" s="10">
        <v>0</v>
      </c>
      <c r="L111" s="10" t="s">
        <v>44</v>
      </c>
      <c r="M111" s="10" t="s">
        <v>93</v>
      </c>
    </row>
    <row r="112" spans="1:13" x14ac:dyDescent="0.3">
      <c r="A112" s="7" t="s">
        <v>330</v>
      </c>
      <c r="B112" s="8">
        <v>45542</v>
      </c>
      <c r="C112" s="7" t="s">
        <v>331</v>
      </c>
      <c r="D112" s="7" t="s">
        <v>109</v>
      </c>
      <c r="E112" s="7" t="s">
        <v>40</v>
      </c>
      <c r="F112" s="7" t="s">
        <v>99</v>
      </c>
      <c r="G112" s="7" t="s">
        <v>77</v>
      </c>
      <c r="H112" s="7" t="s">
        <v>71</v>
      </c>
      <c r="I112" s="7">
        <v>2</v>
      </c>
      <c r="J112" s="9">
        <v>95000</v>
      </c>
      <c r="K112" s="7">
        <v>10</v>
      </c>
      <c r="L112" s="7" t="s">
        <v>51</v>
      </c>
      <c r="M112" s="7" t="s">
        <v>100</v>
      </c>
    </row>
    <row r="113" spans="1:13" x14ac:dyDescent="0.3">
      <c r="A113" s="10" t="s">
        <v>332</v>
      </c>
      <c r="B113" s="11">
        <v>45631</v>
      </c>
      <c r="C113" s="10" t="s">
        <v>333</v>
      </c>
      <c r="D113" s="10" t="s">
        <v>141</v>
      </c>
      <c r="E113" s="10" t="s">
        <v>70</v>
      </c>
      <c r="F113" s="10" t="s">
        <v>57</v>
      </c>
      <c r="G113" s="10" t="s">
        <v>42</v>
      </c>
      <c r="H113" s="10" t="s">
        <v>66</v>
      </c>
      <c r="I113" s="10">
        <v>20</v>
      </c>
      <c r="J113" s="12">
        <v>28000</v>
      </c>
      <c r="K113" s="10">
        <v>10</v>
      </c>
      <c r="L113" s="10" t="s">
        <v>131</v>
      </c>
      <c r="M113" s="10" t="s">
        <v>67</v>
      </c>
    </row>
    <row r="114" spans="1:13" x14ac:dyDescent="0.3">
      <c r="A114" s="7" t="s">
        <v>334</v>
      </c>
      <c r="B114" s="8">
        <v>45480</v>
      </c>
      <c r="C114" s="7" t="s">
        <v>335</v>
      </c>
      <c r="D114" s="7" t="s">
        <v>81</v>
      </c>
      <c r="E114" s="7" t="s">
        <v>49</v>
      </c>
      <c r="F114" s="7" t="s">
        <v>82</v>
      </c>
      <c r="G114" s="7" t="s">
        <v>77</v>
      </c>
      <c r="H114" s="7"/>
      <c r="I114" s="7">
        <v>4</v>
      </c>
      <c r="J114" s="9">
        <v>220000</v>
      </c>
      <c r="K114" s="7">
        <v>20</v>
      </c>
      <c r="L114" s="7" t="s">
        <v>44</v>
      </c>
      <c r="M114" s="7" t="s">
        <v>110</v>
      </c>
    </row>
    <row r="115" spans="1:13" x14ac:dyDescent="0.3">
      <c r="A115" s="10" t="s">
        <v>336</v>
      </c>
      <c r="B115" s="11">
        <v>46150</v>
      </c>
      <c r="C115" s="10" t="s">
        <v>337</v>
      </c>
      <c r="D115" s="10" t="s">
        <v>55</v>
      </c>
      <c r="E115" s="10" t="s">
        <v>56</v>
      </c>
      <c r="F115" s="10" t="s">
        <v>92</v>
      </c>
      <c r="G115" s="10" t="s">
        <v>77</v>
      </c>
      <c r="H115" s="10" t="s">
        <v>43</v>
      </c>
      <c r="I115" s="10">
        <v>3</v>
      </c>
      <c r="J115" s="12">
        <v>450000</v>
      </c>
      <c r="K115" s="10">
        <v>5</v>
      </c>
      <c r="L115" s="10" t="s">
        <v>86</v>
      </c>
      <c r="M115" s="10" t="s">
        <v>106</v>
      </c>
    </row>
    <row r="116" spans="1:13" x14ac:dyDescent="0.3">
      <c r="A116" s="7" t="s">
        <v>338</v>
      </c>
      <c r="B116" s="8">
        <v>45365</v>
      </c>
      <c r="C116" s="7" t="s">
        <v>339</v>
      </c>
      <c r="D116" s="7" t="s">
        <v>81</v>
      </c>
      <c r="E116" s="7" t="s">
        <v>40</v>
      </c>
      <c r="F116" s="7" t="s">
        <v>76</v>
      </c>
      <c r="G116" s="7" t="s">
        <v>77</v>
      </c>
      <c r="H116" s="7" t="s">
        <v>43</v>
      </c>
      <c r="I116" s="7">
        <v>5</v>
      </c>
      <c r="J116" s="9">
        <v>180000</v>
      </c>
      <c r="K116" s="7">
        <v>0</v>
      </c>
      <c r="L116" s="7" t="s">
        <v>51</v>
      </c>
      <c r="M116" s="7" t="s">
        <v>221</v>
      </c>
    </row>
    <row r="117" spans="1:13" x14ac:dyDescent="0.3">
      <c r="A117" s="10" t="s">
        <v>340</v>
      </c>
      <c r="B117" s="11">
        <v>45386</v>
      </c>
      <c r="C117" s="10" t="s">
        <v>341</v>
      </c>
      <c r="D117" s="10" t="s">
        <v>48</v>
      </c>
      <c r="E117" s="10" t="s">
        <v>70</v>
      </c>
      <c r="F117" s="10" t="s">
        <v>99</v>
      </c>
      <c r="G117" s="10" t="s">
        <v>77</v>
      </c>
      <c r="H117" s="10" t="s">
        <v>71</v>
      </c>
      <c r="I117" s="10">
        <v>10</v>
      </c>
      <c r="J117" s="12">
        <v>95000</v>
      </c>
      <c r="K117" s="10">
        <v>0</v>
      </c>
      <c r="L117" s="10" t="s">
        <v>131</v>
      </c>
      <c r="M117" s="10" t="s">
        <v>100</v>
      </c>
    </row>
    <row r="118" spans="1:13" x14ac:dyDescent="0.3">
      <c r="A118" s="7" t="s">
        <v>342</v>
      </c>
      <c r="B118" s="8">
        <v>45523</v>
      </c>
      <c r="C118" s="7" t="s">
        <v>343</v>
      </c>
      <c r="D118" s="7" t="s">
        <v>118</v>
      </c>
      <c r="E118" s="7" t="s">
        <v>49</v>
      </c>
      <c r="F118" s="7" t="s">
        <v>41</v>
      </c>
      <c r="G118" s="7" t="s">
        <v>42</v>
      </c>
      <c r="H118" s="7" t="s">
        <v>71</v>
      </c>
      <c r="I118" s="7">
        <v>18</v>
      </c>
      <c r="J118" s="9">
        <v>35000</v>
      </c>
      <c r="K118" s="7"/>
      <c r="L118" s="7" t="s">
        <v>51</v>
      </c>
      <c r="M118" s="7" t="s">
        <v>344</v>
      </c>
    </row>
    <row r="119" spans="1:13" x14ac:dyDescent="0.3">
      <c r="A119" s="10" t="s">
        <v>345</v>
      </c>
      <c r="B119" s="11">
        <v>45506</v>
      </c>
      <c r="C119" s="10" t="s">
        <v>346</v>
      </c>
      <c r="D119" s="10" t="s">
        <v>81</v>
      </c>
      <c r="E119" s="10" t="s">
        <v>49</v>
      </c>
      <c r="F119" s="10" t="s">
        <v>92</v>
      </c>
      <c r="G119" s="10" t="s">
        <v>77</v>
      </c>
      <c r="H119" s="10" t="s">
        <v>66</v>
      </c>
      <c r="I119" s="10">
        <v>14</v>
      </c>
      <c r="J119" s="12">
        <v>450000</v>
      </c>
      <c r="K119" s="10">
        <v>10</v>
      </c>
      <c r="L119" s="10" t="s">
        <v>51</v>
      </c>
      <c r="M119" s="10" t="s">
        <v>168</v>
      </c>
    </row>
    <row r="120" spans="1:13" x14ac:dyDescent="0.3">
      <c r="A120" s="7" t="s">
        <v>347</v>
      </c>
      <c r="B120" s="8">
        <v>45364</v>
      </c>
      <c r="C120" s="7" t="s">
        <v>348</v>
      </c>
      <c r="D120" s="7" t="s">
        <v>48</v>
      </c>
      <c r="E120" s="7" t="s">
        <v>49</v>
      </c>
      <c r="F120" s="7" t="s">
        <v>92</v>
      </c>
      <c r="G120" s="7" t="s">
        <v>77</v>
      </c>
      <c r="H120" s="7" t="s">
        <v>71</v>
      </c>
      <c r="I120" s="7">
        <v>14</v>
      </c>
      <c r="J120" s="9">
        <v>450000</v>
      </c>
      <c r="K120" s="7">
        <v>0</v>
      </c>
      <c r="L120" s="7" t="s">
        <v>51</v>
      </c>
      <c r="M120" s="7" t="s">
        <v>93</v>
      </c>
    </row>
    <row r="121" spans="1:13" x14ac:dyDescent="0.3">
      <c r="A121" s="10" t="s">
        <v>349</v>
      </c>
      <c r="B121" s="11">
        <v>45587</v>
      </c>
      <c r="C121" s="10" t="s">
        <v>350</v>
      </c>
      <c r="D121" s="10"/>
      <c r="E121" s="10" t="s">
        <v>40</v>
      </c>
      <c r="F121" s="10" t="s">
        <v>41</v>
      </c>
      <c r="G121" s="10" t="s">
        <v>42</v>
      </c>
      <c r="H121" s="10" t="s">
        <v>71</v>
      </c>
      <c r="I121" s="10">
        <v>15</v>
      </c>
      <c r="J121" s="12">
        <v>35000</v>
      </c>
      <c r="K121" s="10">
        <v>10</v>
      </c>
      <c r="L121" s="10" t="s">
        <v>44</v>
      </c>
      <c r="M121" s="10" t="s">
        <v>344</v>
      </c>
    </row>
    <row r="122" spans="1:13" x14ac:dyDescent="0.3">
      <c r="A122" s="7" t="s">
        <v>351</v>
      </c>
      <c r="B122" s="8">
        <v>45613</v>
      </c>
      <c r="C122" s="7" t="s">
        <v>352</v>
      </c>
      <c r="D122" s="7" t="s">
        <v>39</v>
      </c>
      <c r="E122" s="7" t="s">
        <v>49</v>
      </c>
      <c r="F122" s="7" t="s">
        <v>99</v>
      </c>
      <c r="G122" s="7" t="s">
        <v>77</v>
      </c>
      <c r="H122" s="7" t="s">
        <v>43</v>
      </c>
      <c r="I122" s="7">
        <v>10</v>
      </c>
      <c r="J122" s="9">
        <v>95000</v>
      </c>
      <c r="K122" s="7">
        <v>0</v>
      </c>
      <c r="L122" s="7" t="s">
        <v>44</v>
      </c>
      <c r="M122" s="7" t="s">
        <v>149</v>
      </c>
    </row>
    <row r="123" spans="1:13" x14ac:dyDescent="0.3">
      <c r="A123" s="10" t="s">
        <v>353</v>
      </c>
      <c r="B123" s="11">
        <v>45398</v>
      </c>
      <c r="C123" s="10" t="s">
        <v>354</v>
      </c>
      <c r="D123" s="10" t="s">
        <v>65</v>
      </c>
      <c r="E123" s="10" t="s">
        <v>70</v>
      </c>
      <c r="F123" s="10" t="s">
        <v>92</v>
      </c>
      <c r="G123" s="10" t="s">
        <v>77</v>
      </c>
      <c r="H123" s="10" t="s">
        <v>43</v>
      </c>
      <c r="I123" s="10">
        <v>13</v>
      </c>
      <c r="J123" s="12">
        <v>450000</v>
      </c>
      <c r="K123" s="10">
        <v>10</v>
      </c>
      <c r="L123" s="10" t="s">
        <v>44</v>
      </c>
      <c r="M123" s="10" t="s">
        <v>106</v>
      </c>
    </row>
    <row r="124" spans="1:13" x14ac:dyDescent="0.3">
      <c r="A124" s="7" t="s">
        <v>355</v>
      </c>
      <c r="B124" s="8">
        <v>45567</v>
      </c>
      <c r="C124" s="7" t="s">
        <v>356</v>
      </c>
      <c r="D124" s="7" t="s">
        <v>75</v>
      </c>
      <c r="E124" s="7" t="s">
        <v>49</v>
      </c>
      <c r="F124" s="7" t="s">
        <v>92</v>
      </c>
      <c r="G124" s="7" t="s">
        <v>77</v>
      </c>
      <c r="H124" s="7" t="s">
        <v>71</v>
      </c>
      <c r="I124" s="7">
        <v>15</v>
      </c>
      <c r="J124" s="9">
        <v>-5000</v>
      </c>
      <c r="K124" s="7">
        <v>10</v>
      </c>
      <c r="L124" s="7" t="s">
        <v>51</v>
      </c>
      <c r="M124" s="7" t="s">
        <v>93</v>
      </c>
    </row>
    <row r="125" spans="1:13" x14ac:dyDescent="0.3">
      <c r="A125" s="10" t="s">
        <v>357</v>
      </c>
      <c r="B125" s="11">
        <v>45358</v>
      </c>
      <c r="C125" s="10" t="s">
        <v>358</v>
      </c>
      <c r="D125" s="10" t="s">
        <v>141</v>
      </c>
      <c r="E125" s="10" t="s">
        <v>56</v>
      </c>
      <c r="F125" s="10" t="s">
        <v>76</v>
      </c>
      <c r="G125" s="10" t="s">
        <v>77</v>
      </c>
      <c r="H125" s="10" t="s">
        <v>43</v>
      </c>
      <c r="I125" s="10">
        <v>18</v>
      </c>
      <c r="J125" s="12">
        <v>180000</v>
      </c>
      <c r="K125" s="10">
        <v>0</v>
      </c>
      <c r="L125" s="10" t="s">
        <v>86</v>
      </c>
      <c r="M125" s="10" t="s">
        <v>221</v>
      </c>
    </row>
    <row r="126" spans="1:13" x14ac:dyDescent="0.3">
      <c r="A126" s="7" t="s">
        <v>359</v>
      </c>
      <c r="B126" s="8">
        <v>45293</v>
      </c>
      <c r="C126" s="7" t="s">
        <v>360</v>
      </c>
      <c r="D126" s="7" t="s">
        <v>48</v>
      </c>
      <c r="E126" s="7" t="s">
        <v>49</v>
      </c>
      <c r="F126" s="7" t="s">
        <v>92</v>
      </c>
      <c r="G126" s="7" t="s">
        <v>77</v>
      </c>
      <c r="H126" s="7" t="s">
        <v>71</v>
      </c>
      <c r="I126" s="7">
        <v>15</v>
      </c>
      <c r="J126" s="9">
        <v>450000</v>
      </c>
      <c r="K126" s="7">
        <v>5</v>
      </c>
      <c r="L126" s="7" t="s">
        <v>131</v>
      </c>
      <c r="M126" s="7" t="s">
        <v>93</v>
      </c>
    </row>
    <row r="127" spans="1:13" x14ac:dyDescent="0.3">
      <c r="A127" s="10" t="s">
        <v>361</v>
      </c>
      <c r="B127" s="11">
        <v>45644</v>
      </c>
      <c r="C127" s="10" t="s">
        <v>362</v>
      </c>
      <c r="D127" s="10" t="s">
        <v>65</v>
      </c>
      <c r="E127" s="10" t="s">
        <v>70</v>
      </c>
      <c r="F127" s="10" t="s">
        <v>50</v>
      </c>
      <c r="G127" s="10" t="s">
        <v>42</v>
      </c>
      <c r="H127" s="10" t="s">
        <v>43</v>
      </c>
      <c r="I127" s="10">
        <v>2</v>
      </c>
      <c r="J127" s="12">
        <v>18000</v>
      </c>
      <c r="K127" s="10">
        <v>10</v>
      </c>
      <c r="L127" s="10" t="s">
        <v>44</v>
      </c>
      <c r="M127" s="10" t="s">
        <v>52</v>
      </c>
    </row>
    <row r="128" spans="1:13" x14ac:dyDescent="0.3">
      <c r="A128" s="7" t="s">
        <v>363</v>
      </c>
      <c r="B128" s="8">
        <v>45635</v>
      </c>
      <c r="C128" s="7" t="s">
        <v>248</v>
      </c>
      <c r="D128" s="7" t="s">
        <v>109</v>
      </c>
      <c r="E128" s="7" t="s">
        <v>40</v>
      </c>
      <c r="F128" s="7" t="s">
        <v>41</v>
      </c>
      <c r="G128" s="7" t="s">
        <v>42</v>
      </c>
      <c r="H128" s="7" t="s">
        <v>66</v>
      </c>
      <c r="I128" s="7">
        <v>20</v>
      </c>
      <c r="J128" s="9">
        <v>35000</v>
      </c>
      <c r="K128" s="7">
        <v>15</v>
      </c>
      <c r="L128" s="7" t="s">
        <v>51</v>
      </c>
      <c r="M128" s="7" t="s">
        <v>180</v>
      </c>
    </row>
    <row r="129" spans="1:13" x14ac:dyDescent="0.3">
      <c r="A129" s="10" t="s">
        <v>364</v>
      </c>
      <c r="B129" s="11">
        <v>45419</v>
      </c>
      <c r="C129" s="10" t="s">
        <v>365</v>
      </c>
      <c r="D129" s="10" t="s">
        <v>48</v>
      </c>
      <c r="E129" s="10" t="s">
        <v>70</v>
      </c>
      <c r="F129" s="10" t="s">
        <v>99</v>
      </c>
      <c r="G129" s="10" t="s">
        <v>77</v>
      </c>
      <c r="H129" s="10" t="s">
        <v>66</v>
      </c>
      <c r="I129" s="10">
        <v>4</v>
      </c>
      <c r="J129" s="12">
        <v>95000</v>
      </c>
      <c r="K129" s="10">
        <v>0</v>
      </c>
      <c r="L129" s="10" t="s">
        <v>44</v>
      </c>
      <c r="M129" s="10" t="s">
        <v>232</v>
      </c>
    </row>
    <row r="130" spans="1:13" x14ac:dyDescent="0.3">
      <c r="A130" s="7" t="s">
        <v>366</v>
      </c>
      <c r="B130" s="8">
        <v>45482</v>
      </c>
      <c r="C130" s="7" t="s">
        <v>367</v>
      </c>
      <c r="D130" s="7" t="s">
        <v>48</v>
      </c>
      <c r="E130" s="7" t="s">
        <v>70</v>
      </c>
      <c r="F130" s="7" t="s">
        <v>76</v>
      </c>
      <c r="G130" s="7" t="s">
        <v>77</v>
      </c>
      <c r="H130" s="7" t="s">
        <v>43</v>
      </c>
      <c r="I130" s="7">
        <v>1</v>
      </c>
      <c r="J130" s="9">
        <v>180000</v>
      </c>
      <c r="K130" s="7">
        <v>0</v>
      </c>
      <c r="L130" s="7" t="s">
        <v>51</v>
      </c>
      <c r="M130" s="7" t="s">
        <v>221</v>
      </c>
    </row>
    <row r="131" spans="1:13" x14ac:dyDescent="0.3">
      <c r="A131" s="10" t="s">
        <v>368</v>
      </c>
      <c r="B131" s="11">
        <v>45337</v>
      </c>
      <c r="C131" s="10" t="s">
        <v>369</v>
      </c>
      <c r="D131" s="10" t="s">
        <v>81</v>
      </c>
      <c r="E131" s="10" t="s">
        <v>70</v>
      </c>
      <c r="F131" s="10" t="s">
        <v>92</v>
      </c>
      <c r="G131" s="10" t="s">
        <v>77</v>
      </c>
      <c r="H131" s="10" t="s">
        <v>43</v>
      </c>
      <c r="I131" s="10">
        <v>2</v>
      </c>
      <c r="J131" s="12">
        <v>450000</v>
      </c>
      <c r="K131" s="10">
        <v>15</v>
      </c>
      <c r="L131" s="10" t="s">
        <v>44</v>
      </c>
      <c r="M131" s="10" t="s">
        <v>106</v>
      </c>
    </row>
    <row r="132" spans="1:13" x14ac:dyDescent="0.3">
      <c r="A132" s="7" t="s">
        <v>370</v>
      </c>
      <c r="B132" s="8">
        <v>45550</v>
      </c>
      <c r="C132" s="7" t="s">
        <v>371</v>
      </c>
      <c r="D132" s="7" t="s">
        <v>154</v>
      </c>
      <c r="E132" s="7" t="s">
        <v>40</v>
      </c>
      <c r="F132" s="7" t="s">
        <v>82</v>
      </c>
      <c r="G132" s="7" t="s">
        <v>77</v>
      </c>
      <c r="H132" s="7" t="s">
        <v>43</v>
      </c>
      <c r="I132" s="7">
        <v>11</v>
      </c>
      <c r="J132" s="9">
        <v>220000</v>
      </c>
      <c r="K132" s="7">
        <v>0</v>
      </c>
      <c r="L132" s="7" t="s">
        <v>131</v>
      </c>
      <c r="M132" s="7" t="s">
        <v>204</v>
      </c>
    </row>
    <row r="133" spans="1:13" x14ac:dyDescent="0.3">
      <c r="A133" s="10" t="s">
        <v>372</v>
      </c>
      <c r="B133" s="11">
        <v>45637</v>
      </c>
      <c r="C133" s="10" t="s">
        <v>373</v>
      </c>
      <c r="D133" s="10" t="s">
        <v>75</v>
      </c>
      <c r="E133" s="10" t="s">
        <v>40</v>
      </c>
      <c r="F133" s="10" t="s">
        <v>76</v>
      </c>
      <c r="G133" s="10" t="s">
        <v>77</v>
      </c>
      <c r="H133" s="10" t="s">
        <v>43</v>
      </c>
      <c r="I133" s="10">
        <v>13</v>
      </c>
      <c r="J133" s="12">
        <v>180000</v>
      </c>
      <c r="K133" s="10">
        <v>15</v>
      </c>
      <c r="L133" s="10" t="s">
        <v>86</v>
      </c>
      <c r="M133" s="10" t="s">
        <v>221</v>
      </c>
    </row>
    <row r="134" spans="1:13" x14ac:dyDescent="0.3">
      <c r="A134" s="7" t="s">
        <v>374</v>
      </c>
      <c r="B134" s="8">
        <v>45592</v>
      </c>
      <c r="C134" s="7" t="s">
        <v>375</v>
      </c>
      <c r="D134" s="7" t="s">
        <v>48</v>
      </c>
      <c r="E134" s="7" t="s">
        <v>70</v>
      </c>
      <c r="F134" s="7" t="s">
        <v>50</v>
      </c>
      <c r="G134" s="7" t="s">
        <v>42</v>
      </c>
      <c r="H134" s="7" t="s">
        <v>66</v>
      </c>
      <c r="I134" s="7">
        <v>8</v>
      </c>
      <c r="J134" s="9">
        <v>18000</v>
      </c>
      <c r="K134" s="7">
        <v>15</v>
      </c>
      <c r="L134" s="7" t="s">
        <v>86</v>
      </c>
      <c r="M134" s="7" t="s">
        <v>123</v>
      </c>
    </row>
    <row r="135" spans="1:13" x14ac:dyDescent="0.3">
      <c r="A135" s="10" t="s">
        <v>376</v>
      </c>
      <c r="B135" s="11">
        <v>45522</v>
      </c>
      <c r="C135" s="10" t="s">
        <v>377</v>
      </c>
      <c r="D135" s="10" t="s">
        <v>48</v>
      </c>
      <c r="E135" s="10" t="s">
        <v>40</v>
      </c>
      <c r="F135" s="10" t="s">
        <v>82</v>
      </c>
      <c r="G135" s="10" t="s">
        <v>77</v>
      </c>
      <c r="H135" s="10" t="s">
        <v>43</v>
      </c>
      <c r="I135" s="10">
        <v>2</v>
      </c>
      <c r="J135" s="12">
        <v>220000</v>
      </c>
      <c r="K135" s="10">
        <v>15</v>
      </c>
      <c r="L135" s="10" t="s">
        <v>131</v>
      </c>
      <c r="M135" s="10" t="s">
        <v>204</v>
      </c>
    </row>
    <row r="136" spans="1:13" x14ac:dyDescent="0.3">
      <c r="A136" s="7" t="s">
        <v>378</v>
      </c>
      <c r="B136" s="8">
        <v>45579</v>
      </c>
      <c r="C136" s="7" t="s">
        <v>379</v>
      </c>
      <c r="D136" s="7" t="s">
        <v>118</v>
      </c>
      <c r="E136" s="7" t="s">
        <v>49</v>
      </c>
      <c r="F136" s="7" t="s">
        <v>82</v>
      </c>
      <c r="G136" s="7" t="s">
        <v>77</v>
      </c>
      <c r="H136" s="7" t="s">
        <v>43</v>
      </c>
      <c r="I136" s="7">
        <v>5</v>
      </c>
      <c r="J136" s="9">
        <v>220000</v>
      </c>
      <c r="K136" s="7">
        <v>5</v>
      </c>
      <c r="L136" s="7" t="s">
        <v>86</v>
      </c>
      <c r="M136" s="7" t="s">
        <v>204</v>
      </c>
    </row>
    <row r="137" spans="1:13" x14ac:dyDescent="0.3">
      <c r="A137" s="10" t="s">
        <v>380</v>
      </c>
      <c r="B137" s="11">
        <v>45352</v>
      </c>
      <c r="C137" s="10" t="s">
        <v>381</v>
      </c>
      <c r="D137" s="10" t="s">
        <v>109</v>
      </c>
      <c r="E137" s="10" t="s">
        <v>49</v>
      </c>
      <c r="F137" s="10" t="s">
        <v>99</v>
      </c>
      <c r="G137" s="10" t="s">
        <v>77</v>
      </c>
      <c r="H137" s="10" t="s">
        <v>71</v>
      </c>
      <c r="I137" s="10">
        <v>9</v>
      </c>
      <c r="J137" s="12">
        <v>95000</v>
      </c>
      <c r="K137" s="10">
        <v>20</v>
      </c>
      <c r="L137" s="10" t="s">
        <v>131</v>
      </c>
      <c r="M137" s="10" t="s">
        <v>100</v>
      </c>
    </row>
    <row r="138" spans="1:13" x14ac:dyDescent="0.3">
      <c r="A138" s="7" t="s">
        <v>345</v>
      </c>
      <c r="B138" s="8">
        <v>45506</v>
      </c>
      <c r="C138" s="7" t="s">
        <v>346</v>
      </c>
      <c r="D138" s="7" t="s">
        <v>81</v>
      </c>
      <c r="E138" s="7" t="s">
        <v>49</v>
      </c>
      <c r="F138" s="7" t="s">
        <v>92</v>
      </c>
      <c r="G138" s="7" t="s">
        <v>77</v>
      </c>
      <c r="H138" s="7" t="s">
        <v>66</v>
      </c>
      <c r="I138" s="7">
        <v>14</v>
      </c>
      <c r="J138" s="9">
        <v>450000</v>
      </c>
      <c r="K138" s="7">
        <v>10</v>
      </c>
      <c r="L138" s="7" t="s">
        <v>51</v>
      </c>
      <c r="M138" s="7" t="s">
        <v>168</v>
      </c>
    </row>
    <row r="139" spans="1:13" x14ac:dyDescent="0.3">
      <c r="A139" s="10" t="s">
        <v>382</v>
      </c>
      <c r="B139" s="11">
        <v>45599</v>
      </c>
      <c r="C139" s="10" t="s">
        <v>383</v>
      </c>
      <c r="D139" s="10" t="s">
        <v>55</v>
      </c>
      <c r="E139" s="10" t="s">
        <v>70</v>
      </c>
      <c r="F139" s="10" t="s">
        <v>50</v>
      </c>
      <c r="G139" s="10" t="s">
        <v>42</v>
      </c>
      <c r="H139" s="10" t="s">
        <v>66</v>
      </c>
      <c r="I139" s="10">
        <v>12</v>
      </c>
      <c r="J139" s="12">
        <v>18000</v>
      </c>
      <c r="K139" s="10">
        <v>0</v>
      </c>
      <c r="L139" s="10" t="s">
        <v>51</v>
      </c>
      <c r="M139" s="10" t="s">
        <v>123</v>
      </c>
    </row>
    <row r="140" spans="1:13" x14ac:dyDescent="0.3">
      <c r="A140" s="7" t="s">
        <v>384</v>
      </c>
      <c r="B140" s="8">
        <v>45612</v>
      </c>
      <c r="C140" s="7" t="s">
        <v>385</v>
      </c>
      <c r="D140" s="7" t="s">
        <v>109</v>
      </c>
      <c r="E140" s="7" t="s">
        <v>70</v>
      </c>
      <c r="F140" s="7" t="s">
        <v>61</v>
      </c>
      <c r="G140" s="7" t="s">
        <v>42</v>
      </c>
      <c r="H140" s="7" t="s">
        <v>66</v>
      </c>
      <c r="I140" s="7">
        <v>9</v>
      </c>
      <c r="J140" s="9">
        <v>22000</v>
      </c>
      <c r="K140" s="7">
        <v>0</v>
      </c>
      <c r="L140" s="7" t="s">
        <v>51</v>
      </c>
      <c r="M140" s="7" t="s">
        <v>87</v>
      </c>
    </row>
    <row r="141" spans="1:13" x14ac:dyDescent="0.3">
      <c r="A141" s="10" t="s">
        <v>386</v>
      </c>
      <c r="B141" s="11">
        <v>45635</v>
      </c>
      <c r="C141" s="10" t="s">
        <v>387</v>
      </c>
      <c r="D141" s="10" t="s">
        <v>81</v>
      </c>
      <c r="E141" s="10" t="s">
        <v>56</v>
      </c>
      <c r="F141" s="10" t="s">
        <v>82</v>
      </c>
      <c r="G141" s="10" t="s">
        <v>77</v>
      </c>
      <c r="H141" s="10" t="s">
        <v>66</v>
      </c>
      <c r="I141" s="10">
        <v>1</v>
      </c>
      <c r="J141" s="12">
        <v>220000</v>
      </c>
      <c r="K141" s="10">
        <v>15</v>
      </c>
      <c r="L141" s="10" t="s">
        <v>51</v>
      </c>
      <c r="M141" s="10" t="s">
        <v>103</v>
      </c>
    </row>
    <row r="142" spans="1:13" x14ac:dyDescent="0.3">
      <c r="A142" s="7" t="s">
        <v>388</v>
      </c>
      <c r="B142" s="8">
        <v>45559</v>
      </c>
      <c r="C142" s="7" t="s">
        <v>389</v>
      </c>
      <c r="D142" s="7" t="s">
        <v>48</v>
      </c>
      <c r="E142" s="7" t="s">
        <v>40</v>
      </c>
      <c r="F142" s="7" t="s">
        <v>92</v>
      </c>
      <c r="G142" s="7" t="s">
        <v>77</v>
      </c>
      <c r="H142" s="7" t="s">
        <v>71</v>
      </c>
      <c r="I142" s="7">
        <v>19</v>
      </c>
      <c r="J142" s="9">
        <v>450000</v>
      </c>
      <c r="K142" s="7">
        <v>0</v>
      </c>
      <c r="L142" s="7" t="s">
        <v>51</v>
      </c>
      <c r="M142" s="7" t="s">
        <v>93</v>
      </c>
    </row>
    <row r="143" spans="1:13" x14ac:dyDescent="0.3">
      <c r="A143" s="10" t="s">
        <v>390</v>
      </c>
      <c r="B143" s="11">
        <v>45333</v>
      </c>
      <c r="C143" s="10" t="s">
        <v>391</v>
      </c>
      <c r="D143" s="10" t="s">
        <v>39</v>
      </c>
      <c r="E143" s="10" t="s">
        <v>49</v>
      </c>
      <c r="F143" s="10" t="s">
        <v>61</v>
      </c>
      <c r="G143" s="10" t="s">
        <v>42</v>
      </c>
      <c r="H143" s="10" t="s">
        <v>43</v>
      </c>
      <c r="I143" s="10">
        <v>4</v>
      </c>
      <c r="J143" s="12">
        <v>22000</v>
      </c>
      <c r="K143" s="10">
        <v>5</v>
      </c>
      <c r="L143" s="10" t="s">
        <v>131</v>
      </c>
      <c r="M143" s="10" t="s">
        <v>62</v>
      </c>
    </row>
    <row r="144" spans="1:13" x14ac:dyDescent="0.3">
      <c r="A144" s="7" t="s">
        <v>392</v>
      </c>
      <c r="B144" s="8">
        <v>45390</v>
      </c>
      <c r="C144" s="7" t="s">
        <v>393</v>
      </c>
      <c r="D144" s="7" t="s">
        <v>81</v>
      </c>
      <c r="E144" s="7" t="s">
        <v>56</v>
      </c>
      <c r="F144" s="7" t="s">
        <v>92</v>
      </c>
      <c r="G144" s="7" t="s">
        <v>77</v>
      </c>
      <c r="H144" s="7" t="s">
        <v>66</v>
      </c>
      <c r="I144" s="7">
        <v>18</v>
      </c>
      <c r="J144" s="9">
        <v>450000</v>
      </c>
      <c r="K144" s="7">
        <v>5</v>
      </c>
      <c r="L144" s="7" t="s">
        <v>51</v>
      </c>
      <c r="M144" s="7" t="s">
        <v>168</v>
      </c>
    </row>
    <row r="145" spans="1:13" x14ac:dyDescent="0.3">
      <c r="A145" s="10" t="s">
        <v>394</v>
      </c>
      <c r="B145" s="11">
        <v>45426</v>
      </c>
      <c r="C145" s="10" t="s">
        <v>395</v>
      </c>
      <c r="D145" s="10" t="s">
        <v>154</v>
      </c>
      <c r="E145" s="10" t="s">
        <v>70</v>
      </c>
      <c r="F145" s="10" t="s">
        <v>82</v>
      </c>
      <c r="G145" s="10" t="s">
        <v>77</v>
      </c>
      <c r="H145" s="10" t="s">
        <v>66</v>
      </c>
      <c r="I145" s="10">
        <v>13</v>
      </c>
      <c r="J145" s="12">
        <v>220000</v>
      </c>
      <c r="K145" s="10">
        <v>10</v>
      </c>
      <c r="L145" s="10" t="s">
        <v>51</v>
      </c>
      <c r="M145" s="10" t="s">
        <v>103</v>
      </c>
    </row>
    <row r="146" spans="1:13" x14ac:dyDescent="0.3">
      <c r="A146" s="7" t="s">
        <v>396</v>
      </c>
      <c r="B146" s="8">
        <v>45654</v>
      </c>
      <c r="C146" s="7" t="s">
        <v>397</v>
      </c>
      <c r="D146" s="7" t="s">
        <v>65</v>
      </c>
      <c r="E146" s="7" t="s">
        <v>70</v>
      </c>
      <c r="F146" s="7" t="s">
        <v>57</v>
      </c>
      <c r="G146" s="7" t="s">
        <v>42</v>
      </c>
      <c r="H146" s="7" t="s">
        <v>71</v>
      </c>
      <c r="I146" s="7">
        <v>15</v>
      </c>
      <c r="J146" s="9">
        <v>28000</v>
      </c>
      <c r="K146" s="7">
        <v>0</v>
      </c>
      <c r="L146" s="7" t="s">
        <v>86</v>
      </c>
      <c r="M146" s="7" t="s">
        <v>96</v>
      </c>
    </row>
    <row r="147" spans="1:13" x14ac:dyDescent="0.3">
      <c r="A147" s="10" t="s">
        <v>398</v>
      </c>
      <c r="B147" s="11">
        <v>45646</v>
      </c>
      <c r="C147" s="10" t="s">
        <v>399</v>
      </c>
      <c r="D147" s="10" t="s">
        <v>118</v>
      </c>
      <c r="E147" s="10" t="s">
        <v>40</v>
      </c>
      <c r="F147" s="10" t="s">
        <v>57</v>
      </c>
      <c r="G147" s="10" t="s">
        <v>42</v>
      </c>
      <c r="H147" s="10" t="s">
        <v>43</v>
      </c>
      <c r="I147" s="10">
        <v>1</v>
      </c>
      <c r="J147" s="12">
        <v>28000</v>
      </c>
      <c r="K147" s="10">
        <v>20</v>
      </c>
      <c r="L147" s="10" t="s">
        <v>51</v>
      </c>
      <c r="M147" s="10" t="s">
        <v>58</v>
      </c>
    </row>
    <row r="148" spans="1:13" x14ac:dyDescent="0.3">
      <c r="A148" s="7" t="s">
        <v>400</v>
      </c>
      <c r="B148" s="8">
        <v>45512</v>
      </c>
      <c r="C148" s="7" t="s">
        <v>401</v>
      </c>
      <c r="D148" s="7" t="s">
        <v>141</v>
      </c>
      <c r="E148" s="7" t="s">
        <v>40</v>
      </c>
      <c r="F148" s="7" t="s">
        <v>61</v>
      </c>
      <c r="G148" s="7" t="s">
        <v>42</v>
      </c>
      <c r="H148" s="7" t="s">
        <v>66</v>
      </c>
      <c r="I148" s="7">
        <v>4</v>
      </c>
      <c r="J148" s="9">
        <v>22000</v>
      </c>
      <c r="K148" s="7">
        <v>0</v>
      </c>
      <c r="L148" s="7" t="s">
        <v>51</v>
      </c>
      <c r="M148" s="7" t="s">
        <v>87</v>
      </c>
    </row>
    <row r="149" spans="1:13" x14ac:dyDescent="0.3">
      <c r="A149" s="10" t="s">
        <v>402</v>
      </c>
      <c r="B149" s="11">
        <v>45484</v>
      </c>
      <c r="C149" s="10" t="s">
        <v>403</v>
      </c>
      <c r="D149" s="10" t="s">
        <v>154</v>
      </c>
      <c r="E149" s="10" t="s">
        <v>70</v>
      </c>
      <c r="F149" s="10" t="s">
        <v>41</v>
      </c>
      <c r="G149" s="10" t="s">
        <v>42</v>
      </c>
      <c r="H149" s="10" t="s">
        <v>43</v>
      </c>
      <c r="I149" s="10">
        <v>16</v>
      </c>
      <c r="J149" s="12">
        <v>35000</v>
      </c>
      <c r="K149" s="10">
        <v>0</v>
      </c>
      <c r="L149" s="10" t="s">
        <v>51</v>
      </c>
      <c r="M149" s="10" t="s">
        <v>45</v>
      </c>
    </row>
    <row r="150" spans="1:13" x14ac:dyDescent="0.3">
      <c r="A150" s="7" t="s">
        <v>404</v>
      </c>
      <c r="B150" s="8">
        <v>45549</v>
      </c>
      <c r="C150" s="7" t="s">
        <v>405</v>
      </c>
      <c r="D150" s="7" t="s">
        <v>65</v>
      </c>
      <c r="E150" s="7" t="s">
        <v>40</v>
      </c>
      <c r="F150" s="7" t="s">
        <v>92</v>
      </c>
      <c r="G150" s="7" t="s">
        <v>77</v>
      </c>
      <c r="H150" s="7" t="s">
        <v>71</v>
      </c>
      <c r="I150" s="7">
        <v>12</v>
      </c>
      <c r="J150" s="9">
        <v>450000</v>
      </c>
      <c r="K150" s="7">
        <v>20</v>
      </c>
      <c r="L150" s="7" t="s">
        <v>51</v>
      </c>
      <c r="M150" s="7" t="s">
        <v>93</v>
      </c>
    </row>
    <row r="151" spans="1:13" x14ac:dyDescent="0.3">
      <c r="A151" s="10" t="s">
        <v>406</v>
      </c>
      <c r="B151" s="11">
        <v>45433</v>
      </c>
      <c r="C151" s="10" t="s">
        <v>407</v>
      </c>
      <c r="D151" s="10" t="s">
        <v>154</v>
      </c>
      <c r="E151" s="10" t="s">
        <v>49</v>
      </c>
      <c r="F151" s="10" t="s">
        <v>50</v>
      </c>
      <c r="G151" s="10" t="s">
        <v>42</v>
      </c>
      <c r="H151" s="10" t="s">
        <v>71</v>
      </c>
      <c r="I151" s="10">
        <v>2</v>
      </c>
      <c r="J151" s="12">
        <v>18000</v>
      </c>
      <c r="K151" s="10">
        <v>0</v>
      </c>
      <c r="L151" s="10" t="s">
        <v>51</v>
      </c>
      <c r="M151" s="10" t="s">
        <v>72</v>
      </c>
    </row>
    <row r="152" spans="1:13" x14ac:dyDescent="0.3">
      <c r="A152" s="7" t="s">
        <v>408</v>
      </c>
      <c r="B152" s="8">
        <v>45445</v>
      </c>
      <c r="C152" s="7" t="s">
        <v>409</v>
      </c>
      <c r="D152" s="7" t="s">
        <v>109</v>
      </c>
      <c r="E152" s="7" t="s">
        <v>40</v>
      </c>
      <c r="F152" s="7" t="s">
        <v>99</v>
      </c>
      <c r="G152" s="7" t="s">
        <v>77</v>
      </c>
      <c r="H152" s="7" t="s">
        <v>66</v>
      </c>
      <c r="I152" s="7">
        <v>17</v>
      </c>
      <c r="J152" s="9">
        <v>1</v>
      </c>
      <c r="K152" s="7">
        <v>15</v>
      </c>
      <c r="L152" s="7" t="s">
        <v>51</v>
      </c>
      <c r="M152" s="7" t="s">
        <v>232</v>
      </c>
    </row>
    <row r="153" spans="1:13" x14ac:dyDescent="0.3">
      <c r="A153" s="10" t="s">
        <v>410</v>
      </c>
      <c r="B153" s="11">
        <v>45516</v>
      </c>
      <c r="C153" s="10" t="s">
        <v>411</v>
      </c>
      <c r="D153" s="10" t="s">
        <v>109</v>
      </c>
      <c r="E153" s="10" t="s">
        <v>40</v>
      </c>
      <c r="F153" s="10" t="s">
        <v>92</v>
      </c>
      <c r="G153" s="10" t="s">
        <v>77</v>
      </c>
      <c r="H153" s="10" t="s">
        <v>43</v>
      </c>
      <c r="I153" s="10">
        <v>18</v>
      </c>
      <c r="J153" s="12">
        <v>450000</v>
      </c>
      <c r="K153" s="10">
        <v>20</v>
      </c>
      <c r="L153" s="10" t="s">
        <v>51</v>
      </c>
      <c r="M153" s="10" t="s">
        <v>106</v>
      </c>
    </row>
    <row r="154" spans="1:13" x14ac:dyDescent="0.3">
      <c r="A154" s="7" t="s">
        <v>412</v>
      </c>
      <c r="B154" s="8">
        <v>45558</v>
      </c>
      <c r="C154" s="7" t="s">
        <v>413</v>
      </c>
      <c r="D154" s="7" t="s">
        <v>39</v>
      </c>
      <c r="E154" s="7" t="s">
        <v>70</v>
      </c>
      <c r="F154" s="7" t="s">
        <v>61</v>
      </c>
      <c r="G154" s="7" t="s">
        <v>42</v>
      </c>
      <c r="H154" s="7" t="s">
        <v>66</v>
      </c>
      <c r="I154" s="7">
        <v>11</v>
      </c>
      <c r="J154" s="9">
        <v>22000</v>
      </c>
      <c r="K154" s="7">
        <v>10</v>
      </c>
      <c r="L154" s="7" t="s">
        <v>44</v>
      </c>
      <c r="M154" s="7" t="s">
        <v>87</v>
      </c>
    </row>
    <row r="155" spans="1:13" x14ac:dyDescent="0.3">
      <c r="A155" s="10" t="s">
        <v>414</v>
      </c>
      <c r="B155" s="11">
        <v>45476</v>
      </c>
      <c r="C155" s="10" t="s">
        <v>415</v>
      </c>
      <c r="D155" s="10" t="s">
        <v>65</v>
      </c>
      <c r="E155" s="10" t="s">
        <v>40</v>
      </c>
      <c r="F155" s="10" t="s">
        <v>61</v>
      </c>
      <c r="G155" s="10" t="s">
        <v>42</v>
      </c>
      <c r="H155" s="10"/>
      <c r="I155" s="10">
        <v>4</v>
      </c>
      <c r="J155" s="12">
        <v>22000</v>
      </c>
      <c r="K155" s="10">
        <v>0</v>
      </c>
      <c r="L155" s="10" t="s">
        <v>51</v>
      </c>
      <c r="M155" s="10" t="s">
        <v>416</v>
      </c>
    </row>
    <row r="156" spans="1:13" x14ac:dyDescent="0.3">
      <c r="A156" s="7" t="s">
        <v>417</v>
      </c>
      <c r="B156" s="8">
        <v>45604</v>
      </c>
      <c r="C156" s="7" t="s">
        <v>418</v>
      </c>
      <c r="D156" s="7" t="s">
        <v>154</v>
      </c>
      <c r="E156" s="7" t="s">
        <v>40</v>
      </c>
      <c r="F156" s="7" t="s">
        <v>82</v>
      </c>
      <c r="G156" s="7" t="s">
        <v>77</v>
      </c>
      <c r="H156" s="7" t="s">
        <v>43</v>
      </c>
      <c r="I156" s="7">
        <v>12</v>
      </c>
      <c r="J156" s="9">
        <v>220000</v>
      </c>
      <c r="K156" s="7">
        <v>0</v>
      </c>
      <c r="L156" s="7" t="s">
        <v>51</v>
      </c>
      <c r="M156" s="7" t="s">
        <v>204</v>
      </c>
    </row>
    <row r="157" spans="1:13" x14ac:dyDescent="0.3">
      <c r="A157" s="10" t="s">
        <v>419</v>
      </c>
      <c r="B157" s="11">
        <v>45299</v>
      </c>
      <c r="C157" s="10" t="s">
        <v>420</v>
      </c>
      <c r="D157" s="10" t="s">
        <v>109</v>
      </c>
      <c r="E157" s="10" t="s">
        <v>49</v>
      </c>
      <c r="F157" s="10" t="s">
        <v>61</v>
      </c>
      <c r="G157" s="10" t="s">
        <v>42</v>
      </c>
      <c r="H157" s="10" t="s">
        <v>43</v>
      </c>
      <c r="I157" s="10">
        <v>10</v>
      </c>
      <c r="J157" s="12">
        <v>22000</v>
      </c>
      <c r="K157" s="10">
        <v>0</v>
      </c>
      <c r="L157" s="10" t="s">
        <v>44</v>
      </c>
      <c r="M157" s="10" t="s">
        <v>62</v>
      </c>
    </row>
    <row r="158" spans="1:13" x14ac:dyDescent="0.3">
      <c r="A158" s="7" t="s">
        <v>421</v>
      </c>
      <c r="B158" s="8">
        <v>45350</v>
      </c>
      <c r="C158" s="7" t="s">
        <v>422</v>
      </c>
      <c r="D158" s="7" t="s">
        <v>55</v>
      </c>
      <c r="E158" s="7" t="s">
        <v>49</v>
      </c>
      <c r="F158" s="7" t="s">
        <v>92</v>
      </c>
      <c r="G158" s="7" t="s">
        <v>77</v>
      </c>
      <c r="H158" s="7" t="s">
        <v>71</v>
      </c>
      <c r="I158" s="7">
        <v>2</v>
      </c>
      <c r="J158" s="9">
        <v>450000</v>
      </c>
      <c r="K158" s="7">
        <v>10</v>
      </c>
      <c r="L158" s="7" t="s">
        <v>51</v>
      </c>
      <c r="M158" s="7" t="s">
        <v>93</v>
      </c>
    </row>
    <row r="159" spans="1:13" x14ac:dyDescent="0.3">
      <c r="A159" s="10" t="s">
        <v>423</v>
      </c>
      <c r="B159" s="11">
        <v>45586</v>
      </c>
      <c r="C159" s="10" t="s">
        <v>225</v>
      </c>
      <c r="D159" s="10" t="s">
        <v>154</v>
      </c>
      <c r="E159" s="10" t="s">
        <v>49</v>
      </c>
      <c r="F159" s="10" t="s">
        <v>92</v>
      </c>
      <c r="G159" s="10" t="s">
        <v>77</v>
      </c>
      <c r="H159" s="10" t="s">
        <v>71</v>
      </c>
      <c r="I159" s="10">
        <v>16</v>
      </c>
      <c r="J159" s="12">
        <v>450000</v>
      </c>
      <c r="K159" s="10">
        <v>0</v>
      </c>
      <c r="L159" s="10" t="s">
        <v>51</v>
      </c>
      <c r="M159" s="10" t="s">
        <v>93</v>
      </c>
    </row>
    <row r="160" spans="1:13" x14ac:dyDescent="0.3">
      <c r="A160" s="7" t="s">
        <v>424</v>
      </c>
      <c r="B160" s="8">
        <v>45550</v>
      </c>
      <c r="C160" s="7" t="s">
        <v>425</v>
      </c>
      <c r="D160" s="7" t="s">
        <v>118</v>
      </c>
      <c r="E160" s="7" t="s">
        <v>49</v>
      </c>
      <c r="F160" s="7" t="s">
        <v>76</v>
      </c>
      <c r="G160" s="7" t="s">
        <v>77</v>
      </c>
      <c r="H160" s="7" t="s">
        <v>43</v>
      </c>
      <c r="I160" s="7">
        <v>15</v>
      </c>
      <c r="J160" s="9">
        <v>180000</v>
      </c>
      <c r="K160" s="7">
        <v>0</v>
      </c>
      <c r="L160" s="7" t="s">
        <v>51</v>
      </c>
      <c r="M160" s="7" t="s">
        <v>221</v>
      </c>
    </row>
    <row r="161" spans="1:13" x14ac:dyDescent="0.3">
      <c r="A161" s="10" t="s">
        <v>426</v>
      </c>
      <c r="B161" s="11">
        <v>45370</v>
      </c>
      <c r="C161" s="10" t="s">
        <v>427</v>
      </c>
      <c r="D161" s="10" t="s">
        <v>48</v>
      </c>
      <c r="E161" s="10" t="s">
        <v>70</v>
      </c>
      <c r="F161" s="10" t="s">
        <v>76</v>
      </c>
      <c r="G161" s="10" t="s">
        <v>77</v>
      </c>
      <c r="H161" s="10" t="s">
        <v>66</v>
      </c>
      <c r="I161" s="10">
        <v>14</v>
      </c>
      <c r="J161" s="12">
        <v>180000</v>
      </c>
      <c r="K161" s="10">
        <v>10</v>
      </c>
      <c r="L161" s="10" t="s">
        <v>51</v>
      </c>
      <c r="M161" s="10" t="s">
        <v>78</v>
      </c>
    </row>
    <row r="162" spans="1:13" x14ac:dyDescent="0.3">
      <c r="A162" s="7" t="s">
        <v>428</v>
      </c>
      <c r="B162" s="8">
        <v>45311</v>
      </c>
      <c r="C162" s="7" t="s">
        <v>429</v>
      </c>
      <c r="D162" s="7" t="s">
        <v>75</v>
      </c>
      <c r="E162" s="7" t="s">
        <v>56</v>
      </c>
      <c r="F162" s="7" t="s">
        <v>82</v>
      </c>
      <c r="G162" s="7" t="s">
        <v>77</v>
      </c>
      <c r="H162" s="7" t="s">
        <v>71</v>
      </c>
      <c r="I162" s="7">
        <v>19</v>
      </c>
      <c r="J162" s="9">
        <v>220000</v>
      </c>
      <c r="K162" s="7">
        <v>10</v>
      </c>
      <c r="L162" s="7" t="s">
        <v>44</v>
      </c>
      <c r="M162" s="7" t="s">
        <v>83</v>
      </c>
    </row>
    <row r="163" spans="1:13" x14ac:dyDescent="0.3">
      <c r="A163" s="10" t="s">
        <v>430</v>
      </c>
      <c r="B163" s="11">
        <v>45369</v>
      </c>
      <c r="C163" s="10" t="s">
        <v>431</v>
      </c>
      <c r="D163" s="10" t="s">
        <v>39</v>
      </c>
      <c r="E163" s="10" t="s">
        <v>49</v>
      </c>
      <c r="F163" s="10" t="s">
        <v>50</v>
      </c>
      <c r="G163" s="10" t="s">
        <v>42</v>
      </c>
      <c r="H163" s="10" t="s">
        <v>71</v>
      </c>
      <c r="I163" s="10">
        <v>9</v>
      </c>
      <c r="J163" s="12">
        <v>18000</v>
      </c>
      <c r="K163" s="10">
        <v>0</v>
      </c>
      <c r="L163" s="10" t="s">
        <v>51</v>
      </c>
      <c r="M163" s="10" t="s">
        <v>72</v>
      </c>
    </row>
    <row r="164" spans="1:13" x14ac:dyDescent="0.3">
      <c r="A164" s="7" t="s">
        <v>432</v>
      </c>
      <c r="B164" s="8">
        <v>45336</v>
      </c>
      <c r="C164" s="7" t="s">
        <v>433</v>
      </c>
      <c r="D164" s="7" t="s">
        <v>39</v>
      </c>
      <c r="E164" s="7" t="s">
        <v>40</v>
      </c>
      <c r="F164" s="7" t="s">
        <v>50</v>
      </c>
      <c r="G164" s="7" t="s">
        <v>42</v>
      </c>
      <c r="H164" s="7" t="s">
        <v>130</v>
      </c>
      <c r="I164" s="7">
        <v>18</v>
      </c>
      <c r="J164" s="9">
        <v>18000</v>
      </c>
      <c r="K164" s="7">
        <v>0</v>
      </c>
      <c r="L164" s="7" t="s">
        <v>131</v>
      </c>
      <c r="M164" s="7" t="s">
        <v>434</v>
      </c>
    </row>
    <row r="165" spans="1:13" x14ac:dyDescent="0.3">
      <c r="A165" s="10" t="s">
        <v>435</v>
      </c>
      <c r="B165" s="11">
        <v>45423</v>
      </c>
      <c r="C165" s="10" t="s">
        <v>436</v>
      </c>
      <c r="D165" s="10" t="s">
        <v>75</v>
      </c>
      <c r="E165" s="10" t="s">
        <v>49</v>
      </c>
      <c r="F165" s="10" t="s">
        <v>99</v>
      </c>
      <c r="G165" s="10" t="s">
        <v>77</v>
      </c>
      <c r="H165" s="10" t="s">
        <v>43</v>
      </c>
      <c r="I165" s="10">
        <v>8</v>
      </c>
      <c r="J165" s="12">
        <v>95000</v>
      </c>
      <c r="K165" s="10">
        <v>5</v>
      </c>
      <c r="L165" s="10" t="s">
        <v>51</v>
      </c>
      <c r="M165" s="10" t="s">
        <v>149</v>
      </c>
    </row>
    <row r="166" spans="1:13" x14ac:dyDescent="0.3">
      <c r="A166" s="7" t="s">
        <v>437</v>
      </c>
      <c r="B166" s="8">
        <v>45344</v>
      </c>
      <c r="C166" s="7" t="s">
        <v>438</v>
      </c>
      <c r="D166" s="7" t="s">
        <v>118</v>
      </c>
      <c r="E166" s="7" t="s">
        <v>40</v>
      </c>
      <c r="F166" s="7" t="s">
        <v>92</v>
      </c>
      <c r="G166" s="7" t="s">
        <v>77</v>
      </c>
      <c r="H166" s="7" t="s">
        <v>66</v>
      </c>
      <c r="I166" s="7">
        <v>12</v>
      </c>
      <c r="J166" s="9">
        <v>-5000</v>
      </c>
      <c r="K166" s="7">
        <v>5</v>
      </c>
      <c r="L166" s="7" t="s">
        <v>44</v>
      </c>
      <c r="M166" s="7" t="s">
        <v>168</v>
      </c>
    </row>
    <row r="167" spans="1:13" x14ac:dyDescent="0.3">
      <c r="A167" s="10" t="s">
        <v>439</v>
      </c>
      <c r="B167" s="11">
        <v>45544</v>
      </c>
      <c r="C167" s="10" t="s">
        <v>440</v>
      </c>
      <c r="D167" s="10" t="s">
        <v>141</v>
      </c>
      <c r="E167" s="10" t="s">
        <v>49</v>
      </c>
      <c r="F167" s="10" t="s">
        <v>82</v>
      </c>
      <c r="G167" s="10" t="s">
        <v>77</v>
      </c>
      <c r="H167" s="10" t="s">
        <v>66</v>
      </c>
      <c r="I167" s="10">
        <v>7</v>
      </c>
      <c r="J167" s="12">
        <v>220000</v>
      </c>
      <c r="K167" s="10">
        <v>10</v>
      </c>
      <c r="L167" s="10" t="s">
        <v>44</v>
      </c>
      <c r="M167" s="10" t="s">
        <v>103</v>
      </c>
    </row>
    <row r="168" spans="1:13" x14ac:dyDescent="0.3">
      <c r="A168" s="7" t="s">
        <v>441</v>
      </c>
      <c r="B168" s="8">
        <v>45332</v>
      </c>
      <c r="C168" s="7" t="s">
        <v>442</v>
      </c>
      <c r="D168" s="7" t="s">
        <v>154</v>
      </c>
      <c r="E168" s="7" t="s">
        <v>195</v>
      </c>
      <c r="F168" s="7" t="s">
        <v>61</v>
      </c>
      <c r="G168" s="7" t="s">
        <v>42</v>
      </c>
      <c r="H168" s="7" t="s">
        <v>137</v>
      </c>
      <c r="I168" s="7">
        <v>1</v>
      </c>
      <c r="J168" s="9">
        <v>22000</v>
      </c>
      <c r="K168" s="7">
        <v>5</v>
      </c>
      <c r="L168" s="7" t="s">
        <v>86</v>
      </c>
      <c r="M168" s="7" t="s">
        <v>138</v>
      </c>
    </row>
    <row r="169" spans="1:13" x14ac:dyDescent="0.3">
      <c r="A169" s="10" t="s">
        <v>330</v>
      </c>
      <c r="B169" s="11">
        <v>45542</v>
      </c>
      <c r="C169" s="10" t="s">
        <v>331</v>
      </c>
      <c r="D169" s="10" t="s">
        <v>109</v>
      </c>
      <c r="E169" s="10" t="s">
        <v>40</v>
      </c>
      <c r="F169" s="10" t="s">
        <v>99</v>
      </c>
      <c r="G169" s="10" t="s">
        <v>77</v>
      </c>
      <c r="H169" s="10" t="s">
        <v>71</v>
      </c>
      <c r="I169" s="10">
        <v>2</v>
      </c>
      <c r="J169" s="12">
        <v>95000</v>
      </c>
      <c r="K169" s="10">
        <v>10</v>
      </c>
      <c r="L169" s="10" t="s">
        <v>51</v>
      </c>
      <c r="M169" s="10" t="s">
        <v>100</v>
      </c>
    </row>
    <row r="170" spans="1:13" x14ac:dyDescent="0.3">
      <c r="A170" s="7" t="s">
        <v>439</v>
      </c>
      <c r="B170" s="8">
        <v>45544</v>
      </c>
      <c r="C170" s="7" t="s">
        <v>440</v>
      </c>
      <c r="D170" s="7" t="s">
        <v>141</v>
      </c>
      <c r="E170" s="7" t="s">
        <v>49</v>
      </c>
      <c r="F170" s="7" t="s">
        <v>82</v>
      </c>
      <c r="G170" s="7" t="s">
        <v>77</v>
      </c>
      <c r="H170" s="7" t="s">
        <v>66</v>
      </c>
      <c r="I170" s="7">
        <v>7</v>
      </c>
      <c r="J170" s="9">
        <v>220000</v>
      </c>
      <c r="K170" s="7">
        <v>10</v>
      </c>
      <c r="L170" s="7" t="s">
        <v>44</v>
      </c>
      <c r="M170" s="7" t="s">
        <v>103</v>
      </c>
    </row>
    <row r="171" spans="1:13" x14ac:dyDescent="0.3">
      <c r="A171" s="10" t="s">
        <v>443</v>
      </c>
      <c r="B171" s="11">
        <v>45393</v>
      </c>
      <c r="C171" s="10" t="s">
        <v>444</v>
      </c>
      <c r="D171" s="10" t="s">
        <v>118</v>
      </c>
      <c r="E171" s="10" t="s">
        <v>49</v>
      </c>
      <c r="F171" s="10" t="s">
        <v>57</v>
      </c>
      <c r="G171" s="10" t="s">
        <v>42</v>
      </c>
      <c r="H171" s="10" t="s">
        <v>66</v>
      </c>
      <c r="I171" s="10">
        <v>8</v>
      </c>
      <c r="J171" s="12">
        <v>28000</v>
      </c>
      <c r="K171" s="10">
        <v>0</v>
      </c>
      <c r="L171" s="10" t="s">
        <v>51</v>
      </c>
      <c r="M171" s="10" t="s">
        <v>67</v>
      </c>
    </row>
    <row r="172" spans="1:13" x14ac:dyDescent="0.3">
      <c r="A172" s="7" t="s">
        <v>445</v>
      </c>
      <c r="B172" s="8">
        <v>45520</v>
      </c>
      <c r="C172" s="7" t="s">
        <v>446</v>
      </c>
      <c r="D172" s="7" t="s">
        <v>65</v>
      </c>
      <c r="E172" s="7"/>
      <c r="F172" s="7" t="s">
        <v>82</v>
      </c>
      <c r="G172" s="7" t="s">
        <v>77</v>
      </c>
      <c r="H172" s="7" t="s">
        <v>66</v>
      </c>
      <c r="I172" s="7">
        <v>14</v>
      </c>
      <c r="J172" s="9">
        <v>220000</v>
      </c>
      <c r="K172" s="7">
        <v>15</v>
      </c>
      <c r="L172" s="7" t="s">
        <v>51</v>
      </c>
      <c r="M172" s="7" t="s">
        <v>103</v>
      </c>
    </row>
    <row r="173" spans="1:13" x14ac:dyDescent="0.3">
      <c r="A173" s="10" t="s">
        <v>447</v>
      </c>
      <c r="B173" s="11">
        <v>45403</v>
      </c>
      <c r="C173" s="10" t="s">
        <v>448</v>
      </c>
      <c r="D173" s="10" t="s">
        <v>39</v>
      </c>
      <c r="E173" s="10" t="s">
        <v>162</v>
      </c>
      <c r="F173" s="10" t="s">
        <v>82</v>
      </c>
      <c r="G173" s="10" t="s">
        <v>77</v>
      </c>
      <c r="H173" s="10" t="s">
        <v>43</v>
      </c>
      <c r="I173" s="10">
        <v>1</v>
      </c>
      <c r="J173" s="12">
        <v>220000</v>
      </c>
      <c r="K173" s="10">
        <v>0</v>
      </c>
      <c r="L173" s="10" t="s">
        <v>174</v>
      </c>
      <c r="M173" s="10" t="s">
        <v>204</v>
      </c>
    </row>
    <row r="174" spans="1:13" x14ac:dyDescent="0.3">
      <c r="A174" s="7" t="s">
        <v>449</v>
      </c>
      <c r="B174" s="8">
        <v>45357</v>
      </c>
      <c r="C174" s="7" t="s">
        <v>450</v>
      </c>
      <c r="D174" s="7" t="s">
        <v>55</v>
      </c>
      <c r="E174" s="7" t="s">
        <v>40</v>
      </c>
      <c r="F174" s="7" t="s">
        <v>82</v>
      </c>
      <c r="G174" s="7" t="s">
        <v>77</v>
      </c>
      <c r="H174" s="7" t="s">
        <v>66</v>
      </c>
      <c r="I174" s="7">
        <v>19</v>
      </c>
      <c r="J174" s="9">
        <v>220000</v>
      </c>
      <c r="K174" s="7">
        <v>10</v>
      </c>
      <c r="L174" s="7" t="s">
        <v>44</v>
      </c>
      <c r="M174" s="7" t="s">
        <v>103</v>
      </c>
    </row>
    <row r="175" spans="1:13" x14ac:dyDescent="0.3">
      <c r="A175" s="10" t="s">
        <v>451</v>
      </c>
      <c r="B175" s="11">
        <v>45370</v>
      </c>
      <c r="C175" s="10" t="s">
        <v>452</v>
      </c>
      <c r="D175" s="10" t="s">
        <v>48</v>
      </c>
      <c r="E175" s="10" t="s">
        <v>49</v>
      </c>
      <c r="F175" s="10" t="s">
        <v>99</v>
      </c>
      <c r="G175" s="10" t="s">
        <v>77</v>
      </c>
      <c r="H175" s="10" t="s">
        <v>71</v>
      </c>
      <c r="I175" s="10">
        <v>19</v>
      </c>
      <c r="J175" s="12">
        <v>95000</v>
      </c>
      <c r="K175" s="10">
        <v>10</v>
      </c>
      <c r="L175" s="10" t="s">
        <v>86</v>
      </c>
      <c r="M175" s="10" t="s">
        <v>100</v>
      </c>
    </row>
    <row r="176" spans="1:13" x14ac:dyDescent="0.3">
      <c r="A176" s="7" t="s">
        <v>453</v>
      </c>
      <c r="B176" s="8">
        <v>45573</v>
      </c>
      <c r="C176" s="7" t="s">
        <v>454</v>
      </c>
      <c r="D176" s="7" t="s">
        <v>118</v>
      </c>
      <c r="E176" s="7" t="s">
        <v>70</v>
      </c>
      <c r="F176" s="7" t="s">
        <v>57</v>
      </c>
      <c r="G176" s="7" t="s">
        <v>42</v>
      </c>
      <c r="H176" s="7" t="s">
        <v>43</v>
      </c>
      <c r="I176" s="7">
        <v>10</v>
      </c>
      <c r="J176" s="9">
        <v>28000</v>
      </c>
      <c r="K176" s="7">
        <v>0</v>
      </c>
      <c r="L176" s="7" t="s">
        <v>51</v>
      </c>
      <c r="M176" s="7" t="s">
        <v>58</v>
      </c>
    </row>
    <row r="177" spans="1:13" x14ac:dyDescent="0.3">
      <c r="A177" s="10" t="s">
        <v>455</v>
      </c>
      <c r="B177" s="11">
        <v>45304</v>
      </c>
      <c r="C177" s="10" t="s">
        <v>456</v>
      </c>
      <c r="D177" s="10" t="s">
        <v>39</v>
      </c>
      <c r="E177" s="10" t="s">
        <v>49</v>
      </c>
      <c r="F177" s="10" t="s">
        <v>82</v>
      </c>
      <c r="G177" s="10" t="s">
        <v>77</v>
      </c>
      <c r="H177" s="10" t="s">
        <v>71</v>
      </c>
      <c r="I177" s="10">
        <v>8</v>
      </c>
      <c r="J177" s="12">
        <v>220000</v>
      </c>
      <c r="K177" s="10">
        <v>15</v>
      </c>
      <c r="L177" s="10" t="s">
        <v>51</v>
      </c>
      <c r="M177" s="10" t="s">
        <v>83</v>
      </c>
    </row>
    <row r="178" spans="1:13" x14ac:dyDescent="0.3">
      <c r="A178" s="7" t="s">
        <v>457</v>
      </c>
      <c r="B178" s="8">
        <v>45399</v>
      </c>
      <c r="C178" s="7" t="s">
        <v>458</v>
      </c>
      <c r="D178" s="7" t="s">
        <v>39</v>
      </c>
      <c r="E178" s="7" t="s">
        <v>56</v>
      </c>
      <c r="F178" s="7" t="s">
        <v>82</v>
      </c>
      <c r="G178" s="7" t="s">
        <v>77</v>
      </c>
      <c r="H178" s="7" t="s">
        <v>71</v>
      </c>
      <c r="I178" s="7">
        <v>3</v>
      </c>
      <c r="J178" s="9">
        <v>220000</v>
      </c>
      <c r="K178" s="7">
        <v>0</v>
      </c>
      <c r="L178" s="7" t="s">
        <v>51</v>
      </c>
      <c r="M178" s="7" t="s">
        <v>83</v>
      </c>
    </row>
    <row r="179" spans="1:13" x14ac:dyDescent="0.3">
      <c r="A179" s="10" t="s">
        <v>459</v>
      </c>
      <c r="B179" s="11">
        <v>45387</v>
      </c>
      <c r="C179" s="10" t="s">
        <v>460</v>
      </c>
      <c r="D179" s="10" t="s">
        <v>141</v>
      </c>
      <c r="E179" s="10" t="s">
        <v>40</v>
      </c>
      <c r="F179" s="10" t="s">
        <v>76</v>
      </c>
      <c r="G179" s="10" t="s">
        <v>77</v>
      </c>
      <c r="H179" s="10" t="s">
        <v>71</v>
      </c>
      <c r="I179" s="10">
        <v>6</v>
      </c>
      <c r="J179" s="12">
        <v>180000</v>
      </c>
      <c r="K179" s="10">
        <v>0</v>
      </c>
      <c r="L179" s="10" t="s">
        <v>51</v>
      </c>
      <c r="M179" s="10" t="s">
        <v>142</v>
      </c>
    </row>
    <row r="180" spans="1:13" x14ac:dyDescent="0.3">
      <c r="A180" s="7" t="s">
        <v>461</v>
      </c>
      <c r="B180" s="8">
        <v>45589</v>
      </c>
      <c r="C180" s="7" t="s">
        <v>462</v>
      </c>
      <c r="D180" s="7" t="s">
        <v>118</v>
      </c>
      <c r="E180" s="7" t="s">
        <v>40</v>
      </c>
      <c r="F180" s="7" t="s">
        <v>41</v>
      </c>
      <c r="G180" s="7" t="s">
        <v>42</v>
      </c>
      <c r="H180" s="7" t="s">
        <v>66</v>
      </c>
      <c r="I180" s="7">
        <v>5</v>
      </c>
      <c r="J180" s="9">
        <v>35000</v>
      </c>
      <c r="K180" s="7">
        <v>0</v>
      </c>
      <c r="L180" s="7" t="s">
        <v>131</v>
      </c>
      <c r="M180" s="7" t="s">
        <v>180</v>
      </c>
    </row>
    <row r="181" spans="1:13" x14ac:dyDescent="0.3">
      <c r="A181" s="10" t="s">
        <v>463</v>
      </c>
      <c r="B181" s="11">
        <v>45419</v>
      </c>
      <c r="C181" s="10" t="s">
        <v>464</v>
      </c>
      <c r="D181" s="10" t="s">
        <v>48</v>
      </c>
      <c r="E181" s="10" t="s">
        <v>70</v>
      </c>
      <c r="F181" s="10" t="s">
        <v>99</v>
      </c>
      <c r="G181" s="10" t="s">
        <v>77</v>
      </c>
      <c r="H181" s="10" t="s">
        <v>71</v>
      </c>
      <c r="I181" s="10">
        <v>15</v>
      </c>
      <c r="J181" s="12">
        <v>95000</v>
      </c>
      <c r="K181" s="10">
        <v>0</v>
      </c>
      <c r="L181" s="10" t="s">
        <v>86</v>
      </c>
      <c r="M181" s="10" t="s">
        <v>100</v>
      </c>
    </row>
    <row r="182" spans="1:13" x14ac:dyDescent="0.3">
      <c r="A182" s="7" t="s">
        <v>465</v>
      </c>
      <c r="B182" s="8">
        <v>45646</v>
      </c>
      <c r="C182" s="7" t="s">
        <v>466</v>
      </c>
      <c r="D182" s="7" t="s">
        <v>118</v>
      </c>
      <c r="E182" s="7" t="s">
        <v>49</v>
      </c>
      <c r="F182" s="7" t="s">
        <v>76</v>
      </c>
      <c r="G182" s="7" t="s">
        <v>77</v>
      </c>
      <c r="H182" s="7" t="s">
        <v>66</v>
      </c>
      <c r="I182" s="7">
        <v>14</v>
      </c>
      <c r="J182" s="9">
        <v>180000</v>
      </c>
      <c r="K182" s="7">
        <v>5</v>
      </c>
      <c r="L182" s="7" t="s">
        <v>51</v>
      </c>
      <c r="M182" s="7" t="s">
        <v>78</v>
      </c>
    </row>
    <row r="183" spans="1:13" x14ac:dyDescent="0.3">
      <c r="A183" s="10" t="s">
        <v>467</v>
      </c>
      <c r="B183" s="11">
        <v>45354</v>
      </c>
      <c r="C183" s="10" t="s">
        <v>468</v>
      </c>
      <c r="D183" s="10" t="s">
        <v>109</v>
      </c>
      <c r="E183" s="10" t="s">
        <v>162</v>
      </c>
      <c r="F183" s="10" t="s">
        <v>41</v>
      </c>
      <c r="G183" s="10" t="s">
        <v>42</v>
      </c>
      <c r="H183" s="10" t="s">
        <v>238</v>
      </c>
      <c r="I183" s="10">
        <v>5</v>
      </c>
      <c r="J183" s="12">
        <v>35000</v>
      </c>
      <c r="K183" s="10">
        <v>0</v>
      </c>
      <c r="L183" s="10" t="s">
        <v>44</v>
      </c>
      <c r="M183" s="10" t="s">
        <v>469</v>
      </c>
    </row>
    <row r="184" spans="1:13" x14ac:dyDescent="0.3">
      <c r="A184" s="7" t="s">
        <v>470</v>
      </c>
      <c r="B184" s="8">
        <v>45551</v>
      </c>
      <c r="C184" s="7" t="s">
        <v>471</v>
      </c>
      <c r="D184" s="7" t="s">
        <v>81</v>
      </c>
      <c r="E184" s="7" t="s">
        <v>40</v>
      </c>
      <c r="F184" s="7" t="s">
        <v>92</v>
      </c>
      <c r="G184" s="7" t="s">
        <v>77</v>
      </c>
      <c r="H184" s="7" t="s">
        <v>66</v>
      </c>
      <c r="I184" s="7">
        <v>5</v>
      </c>
      <c r="J184" s="9">
        <v>450000</v>
      </c>
      <c r="K184" s="7">
        <v>5</v>
      </c>
      <c r="L184" s="7" t="s">
        <v>51</v>
      </c>
      <c r="M184" s="7" t="s">
        <v>168</v>
      </c>
    </row>
    <row r="185" spans="1:13" x14ac:dyDescent="0.3">
      <c r="A185" s="10" t="s">
        <v>472</v>
      </c>
      <c r="B185" s="11">
        <v>45330</v>
      </c>
      <c r="C185" s="10" t="s">
        <v>473</v>
      </c>
      <c r="D185" s="10" t="s">
        <v>81</v>
      </c>
      <c r="E185" s="10" t="s">
        <v>49</v>
      </c>
      <c r="F185" s="10" t="s">
        <v>76</v>
      </c>
      <c r="G185" s="10" t="s">
        <v>77</v>
      </c>
      <c r="H185" s="10" t="s">
        <v>66</v>
      </c>
      <c r="I185" s="10">
        <v>5</v>
      </c>
      <c r="J185" s="12">
        <v>180000</v>
      </c>
      <c r="K185" s="10">
        <v>0</v>
      </c>
      <c r="L185" s="10" t="s">
        <v>51</v>
      </c>
      <c r="M185" s="10" t="s">
        <v>78</v>
      </c>
    </row>
    <row r="186" spans="1:13" x14ac:dyDescent="0.3">
      <c r="A186" s="7" t="s">
        <v>474</v>
      </c>
      <c r="B186" s="8">
        <v>45604</v>
      </c>
      <c r="C186" s="7" t="s">
        <v>279</v>
      </c>
      <c r="D186" s="7" t="s">
        <v>81</v>
      </c>
      <c r="E186" s="7" t="s">
        <v>40</v>
      </c>
      <c r="F186" s="7" t="s">
        <v>50</v>
      </c>
      <c r="G186" s="7" t="s">
        <v>42</v>
      </c>
      <c r="H186" s="7" t="s">
        <v>66</v>
      </c>
      <c r="I186" s="7">
        <v>17</v>
      </c>
      <c r="J186" s="9">
        <v>18000</v>
      </c>
      <c r="K186" s="7">
        <v>5</v>
      </c>
      <c r="L186" s="7" t="s">
        <v>131</v>
      </c>
      <c r="M186" s="7" t="s">
        <v>123</v>
      </c>
    </row>
    <row r="187" spans="1:13" x14ac:dyDescent="0.3">
      <c r="A187" s="10" t="s">
        <v>475</v>
      </c>
      <c r="B187" s="11">
        <v>45330</v>
      </c>
      <c r="C187" s="10" t="s">
        <v>476</v>
      </c>
      <c r="D187" s="10" t="s">
        <v>55</v>
      </c>
      <c r="E187" s="10" t="s">
        <v>70</v>
      </c>
      <c r="F187" s="10" t="s">
        <v>76</v>
      </c>
      <c r="G187" s="10" t="s">
        <v>77</v>
      </c>
      <c r="H187" s="10" t="s">
        <v>66</v>
      </c>
      <c r="I187" s="10">
        <v>2</v>
      </c>
      <c r="J187" s="12">
        <v>180000</v>
      </c>
      <c r="K187" s="10">
        <v>0</v>
      </c>
      <c r="L187" s="10" t="s">
        <v>51</v>
      </c>
      <c r="M187" s="10" t="s">
        <v>78</v>
      </c>
    </row>
    <row r="188" spans="1:13" x14ac:dyDescent="0.3">
      <c r="A188" s="7" t="s">
        <v>477</v>
      </c>
      <c r="B188" s="8">
        <v>45300</v>
      </c>
      <c r="C188" s="7" t="s">
        <v>350</v>
      </c>
      <c r="D188" s="7" t="s">
        <v>141</v>
      </c>
      <c r="E188" s="7" t="s">
        <v>70</v>
      </c>
      <c r="F188" s="7" t="s">
        <v>92</v>
      </c>
      <c r="G188" s="7" t="s">
        <v>77</v>
      </c>
      <c r="H188" s="7" t="s">
        <v>71</v>
      </c>
      <c r="I188" s="7">
        <v>15</v>
      </c>
      <c r="J188" s="9">
        <v>450000</v>
      </c>
      <c r="K188" s="7">
        <v>0</v>
      </c>
      <c r="L188" s="7" t="s">
        <v>51</v>
      </c>
      <c r="M188" s="7" t="s">
        <v>93</v>
      </c>
    </row>
    <row r="189" spans="1:13" x14ac:dyDescent="0.3">
      <c r="A189" s="10" t="s">
        <v>478</v>
      </c>
      <c r="B189" s="11">
        <v>45587</v>
      </c>
      <c r="C189" s="10" t="s">
        <v>479</v>
      </c>
      <c r="D189" s="10" t="s">
        <v>141</v>
      </c>
      <c r="E189" s="10" t="s">
        <v>56</v>
      </c>
      <c r="F189" s="10" t="s">
        <v>92</v>
      </c>
      <c r="G189" s="10" t="s">
        <v>77</v>
      </c>
      <c r="H189" s="10" t="s">
        <v>66</v>
      </c>
      <c r="I189" s="10">
        <v>18</v>
      </c>
      <c r="J189" s="12">
        <v>450000</v>
      </c>
      <c r="K189" s="10">
        <v>0</v>
      </c>
      <c r="L189" s="10" t="s">
        <v>51</v>
      </c>
      <c r="M189" s="10" t="s">
        <v>168</v>
      </c>
    </row>
    <row r="190" spans="1:13" x14ac:dyDescent="0.3">
      <c r="A190" s="7" t="s">
        <v>480</v>
      </c>
      <c r="B190" s="8">
        <v>45453</v>
      </c>
      <c r="C190" s="7" t="s">
        <v>481</v>
      </c>
      <c r="D190" s="7" t="s">
        <v>55</v>
      </c>
      <c r="E190" s="7" t="s">
        <v>70</v>
      </c>
      <c r="F190" s="7" t="s">
        <v>41</v>
      </c>
      <c r="G190" s="7" t="s">
        <v>42</v>
      </c>
      <c r="H190" s="7" t="s">
        <v>71</v>
      </c>
      <c r="I190" s="7">
        <v>8</v>
      </c>
      <c r="J190" s="9">
        <v>35000</v>
      </c>
      <c r="K190" s="7">
        <v>15</v>
      </c>
      <c r="L190" s="7" t="s">
        <v>44</v>
      </c>
      <c r="M190" s="7" t="s">
        <v>344</v>
      </c>
    </row>
    <row r="191" spans="1:13" x14ac:dyDescent="0.3">
      <c r="A191" s="10" t="s">
        <v>482</v>
      </c>
      <c r="B191" s="11">
        <v>45563</v>
      </c>
      <c r="C191" s="10" t="s">
        <v>483</v>
      </c>
      <c r="D191" s="10" t="s">
        <v>55</v>
      </c>
      <c r="E191" s="10" t="s">
        <v>49</v>
      </c>
      <c r="F191" s="10" t="s">
        <v>99</v>
      </c>
      <c r="G191" s="10" t="s">
        <v>77</v>
      </c>
      <c r="H191" s="10" t="s">
        <v>66</v>
      </c>
      <c r="I191" s="10">
        <v>4</v>
      </c>
      <c r="J191" s="12">
        <v>95000</v>
      </c>
      <c r="K191" s="10">
        <v>20</v>
      </c>
      <c r="L191" s="10" t="s">
        <v>51</v>
      </c>
      <c r="M191" s="10" t="s">
        <v>232</v>
      </c>
    </row>
    <row r="192" spans="1:13" x14ac:dyDescent="0.3">
      <c r="A192" s="7" t="s">
        <v>484</v>
      </c>
      <c r="B192" s="8">
        <v>45628</v>
      </c>
      <c r="C192" s="7" t="s">
        <v>485</v>
      </c>
      <c r="D192" s="7" t="s">
        <v>118</v>
      </c>
      <c r="E192" s="7" t="s">
        <v>40</v>
      </c>
      <c r="F192" s="7" t="s">
        <v>61</v>
      </c>
      <c r="G192" s="7" t="s">
        <v>42</v>
      </c>
      <c r="H192" s="7" t="s">
        <v>43</v>
      </c>
      <c r="I192" s="7">
        <v>13</v>
      </c>
      <c r="J192" s="9">
        <v>999999999</v>
      </c>
      <c r="K192" s="7">
        <v>20</v>
      </c>
      <c r="L192" s="7" t="s">
        <v>239</v>
      </c>
      <c r="M192" s="7" t="s">
        <v>62</v>
      </c>
    </row>
    <row r="193" spans="1:13" x14ac:dyDescent="0.3">
      <c r="A193" s="10" t="s">
        <v>486</v>
      </c>
      <c r="B193" s="11">
        <v>45409</v>
      </c>
      <c r="C193" s="10" t="s">
        <v>487</v>
      </c>
      <c r="D193" s="10" t="s">
        <v>75</v>
      </c>
      <c r="E193" s="10" t="s">
        <v>40</v>
      </c>
      <c r="F193" s="10" t="s">
        <v>61</v>
      </c>
      <c r="G193" s="10" t="s">
        <v>42</v>
      </c>
      <c r="H193" s="10" t="s">
        <v>71</v>
      </c>
      <c r="I193" s="10">
        <v>17</v>
      </c>
      <c r="J193" s="12">
        <v>22000</v>
      </c>
      <c r="K193" s="10">
        <v>0</v>
      </c>
      <c r="L193" s="10" t="s">
        <v>51</v>
      </c>
      <c r="M193" s="10" t="s">
        <v>115</v>
      </c>
    </row>
    <row r="194" spans="1:13" x14ac:dyDescent="0.3">
      <c r="A194" s="7" t="s">
        <v>488</v>
      </c>
      <c r="B194" s="8">
        <v>45420</v>
      </c>
      <c r="C194" s="7" t="s">
        <v>489</v>
      </c>
      <c r="D194" s="7" t="s">
        <v>39</v>
      </c>
      <c r="E194" s="7" t="s">
        <v>56</v>
      </c>
      <c r="F194" s="7" t="s">
        <v>92</v>
      </c>
      <c r="G194" s="7" t="s">
        <v>77</v>
      </c>
      <c r="H194" s="7" t="s">
        <v>66</v>
      </c>
      <c r="I194" s="7">
        <v>9</v>
      </c>
      <c r="J194" s="9">
        <v>450000</v>
      </c>
      <c r="K194" s="7">
        <v>10</v>
      </c>
      <c r="L194" s="7" t="s">
        <v>44</v>
      </c>
      <c r="M194" s="7" t="s">
        <v>168</v>
      </c>
    </row>
    <row r="195" spans="1:13" x14ac:dyDescent="0.3">
      <c r="A195" s="10" t="s">
        <v>490</v>
      </c>
      <c r="B195" s="11">
        <v>45440</v>
      </c>
      <c r="C195" s="10" t="s">
        <v>491</v>
      </c>
      <c r="D195" s="10" t="s">
        <v>154</v>
      </c>
      <c r="E195" s="10" t="s">
        <v>70</v>
      </c>
      <c r="F195" s="10" t="s">
        <v>99</v>
      </c>
      <c r="G195" s="10" t="s">
        <v>77</v>
      </c>
      <c r="H195" s="10" t="s">
        <v>66</v>
      </c>
      <c r="I195" s="10">
        <v>5</v>
      </c>
      <c r="J195" s="12">
        <v>95000</v>
      </c>
      <c r="K195" s="10">
        <v>0</v>
      </c>
      <c r="L195" s="10" t="s">
        <v>51</v>
      </c>
      <c r="M195" s="10" t="s">
        <v>232</v>
      </c>
    </row>
    <row r="196" spans="1:13" x14ac:dyDescent="0.3">
      <c r="A196" s="7" t="s">
        <v>492</v>
      </c>
      <c r="B196" s="8">
        <v>45452</v>
      </c>
      <c r="C196" s="7" t="s">
        <v>493</v>
      </c>
      <c r="D196" s="7" t="s">
        <v>154</v>
      </c>
      <c r="E196" s="7" t="s">
        <v>40</v>
      </c>
      <c r="F196" s="7" t="s">
        <v>57</v>
      </c>
      <c r="G196" s="7" t="s">
        <v>42</v>
      </c>
      <c r="H196" s="7" t="s">
        <v>71</v>
      </c>
      <c r="I196" s="7">
        <v>15</v>
      </c>
      <c r="J196" s="9">
        <v>28000</v>
      </c>
      <c r="K196" s="7">
        <v>0</v>
      </c>
      <c r="L196" s="7" t="s">
        <v>51</v>
      </c>
      <c r="M196" s="7" t="s">
        <v>96</v>
      </c>
    </row>
    <row r="197" spans="1:13" x14ac:dyDescent="0.3">
      <c r="A197" s="10" t="s">
        <v>494</v>
      </c>
      <c r="B197" s="11">
        <v>45524</v>
      </c>
      <c r="C197" s="10" t="s">
        <v>495</v>
      </c>
      <c r="D197" s="10" t="s">
        <v>55</v>
      </c>
      <c r="E197" s="10" t="s">
        <v>49</v>
      </c>
      <c r="F197" s="10" t="s">
        <v>82</v>
      </c>
      <c r="G197" s="10" t="s">
        <v>77</v>
      </c>
      <c r="H197" s="10" t="s">
        <v>66</v>
      </c>
      <c r="I197" s="10">
        <v>11</v>
      </c>
      <c r="J197" s="12">
        <v>220000</v>
      </c>
      <c r="K197" s="10">
        <v>0</v>
      </c>
      <c r="L197" s="10" t="s">
        <v>51</v>
      </c>
      <c r="M197" s="10" t="s">
        <v>103</v>
      </c>
    </row>
    <row r="198" spans="1:13" x14ac:dyDescent="0.3">
      <c r="A198" s="7" t="s">
        <v>496</v>
      </c>
      <c r="B198" s="8">
        <v>45420</v>
      </c>
      <c r="C198" s="7" t="s">
        <v>497</v>
      </c>
      <c r="D198" s="7" t="s">
        <v>141</v>
      </c>
      <c r="E198" s="7" t="s">
        <v>49</v>
      </c>
      <c r="F198" s="7" t="s">
        <v>76</v>
      </c>
      <c r="G198" s="7" t="s">
        <v>77</v>
      </c>
      <c r="H198" s="7" t="s">
        <v>71</v>
      </c>
      <c r="I198" s="7">
        <v>10</v>
      </c>
      <c r="J198" s="9">
        <v>180000</v>
      </c>
      <c r="K198" s="7">
        <v>0</v>
      </c>
      <c r="L198" s="7" t="s">
        <v>44</v>
      </c>
      <c r="M198" s="7" t="s">
        <v>142</v>
      </c>
    </row>
    <row r="199" spans="1:13" x14ac:dyDescent="0.3">
      <c r="A199" s="10" t="s">
        <v>498</v>
      </c>
      <c r="B199" s="11">
        <v>45583</v>
      </c>
      <c r="C199" s="10" t="s">
        <v>499</v>
      </c>
      <c r="D199" s="10" t="s">
        <v>109</v>
      </c>
      <c r="E199" s="10" t="s">
        <v>49</v>
      </c>
      <c r="F199" s="10" t="s">
        <v>82</v>
      </c>
      <c r="G199" s="10" t="s">
        <v>77</v>
      </c>
      <c r="H199" s="10" t="s">
        <v>43</v>
      </c>
      <c r="I199" s="10">
        <v>18</v>
      </c>
      <c r="J199" s="12">
        <v>220000</v>
      </c>
      <c r="K199" s="10">
        <v>0</v>
      </c>
      <c r="L199" s="10" t="s">
        <v>51</v>
      </c>
      <c r="M199" s="10" t="s">
        <v>204</v>
      </c>
    </row>
    <row r="200" spans="1:13" x14ac:dyDescent="0.3">
      <c r="A200" s="7" t="s">
        <v>443</v>
      </c>
      <c r="B200" s="8">
        <v>45393</v>
      </c>
      <c r="C200" s="7" t="s">
        <v>444</v>
      </c>
      <c r="D200" s="7" t="s">
        <v>118</v>
      </c>
      <c r="E200" s="7" t="s">
        <v>49</v>
      </c>
      <c r="F200" s="7" t="s">
        <v>57</v>
      </c>
      <c r="G200" s="7" t="s">
        <v>42</v>
      </c>
      <c r="H200" s="7" t="s">
        <v>66</v>
      </c>
      <c r="I200" s="7">
        <v>8</v>
      </c>
      <c r="J200" s="9">
        <v>28000</v>
      </c>
      <c r="K200" s="7">
        <v>0</v>
      </c>
      <c r="L200" s="7" t="s">
        <v>51</v>
      </c>
      <c r="M200" s="7" t="s">
        <v>67</v>
      </c>
    </row>
    <row r="201" spans="1:13" x14ac:dyDescent="0.3">
      <c r="A201" s="10" t="s">
        <v>500</v>
      </c>
      <c r="B201" s="11">
        <v>45436</v>
      </c>
      <c r="C201" s="10" t="s">
        <v>501</v>
      </c>
      <c r="D201" s="10" t="s">
        <v>65</v>
      </c>
      <c r="E201" s="10" t="s">
        <v>40</v>
      </c>
      <c r="F201" s="10" t="s">
        <v>50</v>
      </c>
      <c r="G201" s="10" t="s">
        <v>42</v>
      </c>
      <c r="H201" s="10" t="s">
        <v>130</v>
      </c>
      <c r="I201" s="10">
        <v>12</v>
      </c>
      <c r="J201" s="12">
        <v>18000</v>
      </c>
      <c r="K201" s="10">
        <v>0</v>
      </c>
      <c r="L201" s="10" t="s">
        <v>86</v>
      </c>
      <c r="M201" s="10" t="s">
        <v>434</v>
      </c>
    </row>
    <row r="202" spans="1:13" x14ac:dyDescent="0.3">
      <c r="A202" s="7" t="s">
        <v>502</v>
      </c>
      <c r="B202" s="8">
        <v>45606</v>
      </c>
      <c r="C202" s="7" t="s">
        <v>503</v>
      </c>
      <c r="D202" s="7" t="s">
        <v>118</v>
      </c>
      <c r="E202" s="7" t="s">
        <v>40</v>
      </c>
      <c r="F202" s="7" t="s">
        <v>76</v>
      </c>
      <c r="G202" s="7" t="s">
        <v>77</v>
      </c>
      <c r="H202" s="7" t="s">
        <v>43</v>
      </c>
      <c r="I202" s="7">
        <v>3</v>
      </c>
      <c r="J202" s="9">
        <v>180000</v>
      </c>
      <c r="K202" s="7">
        <v>0</v>
      </c>
      <c r="L202" s="7" t="s">
        <v>51</v>
      </c>
      <c r="M202" s="7" t="s">
        <v>221</v>
      </c>
    </row>
    <row r="203" spans="1:13" x14ac:dyDescent="0.3">
      <c r="A203" s="10" t="s">
        <v>504</v>
      </c>
      <c r="B203" s="11">
        <v>45616</v>
      </c>
      <c r="C203" s="10" t="s">
        <v>505</v>
      </c>
      <c r="D203" s="10" t="s">
        <v>39</v>
      </c>
      <c r="E203" s="10" t="s">
        <v>70</v>
      </c>
      <c r="F203" s="10" t="s">
        <v>82</v>
      </c>
      <c r="G203" s="10" t="s">
        <v>77</v>
      </c>
      <c r="H203" s="10"/>
      <c r="I203" s="10">
        <v>10</v>
      </c>
      <c r="J203" s="12">
        <v>220000</v>
      </c>
      <c r="K203" s="10">
        <v>20</v>
      </c>
      <c r="L203" s="10" t="s">
        <v>51</v>
      </c>
      <c r="M203" s="10" t="s">
        <v>110</v>
      </c>
    </row>
    <row r="204" spans="1:13" x14ac:dyDescent="0.3">
      <c r="A204" s="7" t="s">
        <v>506</v>
      </c>
      <c r="B204" s="8">
        <v>45514</v>
      </c>
      <c r="C204" s="7" t="s">
        <v>507</v>
      </c>
      <c r="D204" s="7" t="s">
        <v>154</v>
      </c>
      <c r="E204" s="7" t="s">
        <v>70</v>
      </c>
      <c r="F204" s="7" t="s">
        <v>76</v>
      </c>
      <c r="G204" s="7" t="s">
        <v>77</v>
      </c>
      <c r="H204" s="7" t="s">
        <v>66</v>
      </c>
      <c r="I204" s="7">
        <v>18</v>
      </c>
      <c r="J204" s="9">
        <v>180000</v>
      </c>
      <c r="K204" s="7"/>
      <c r="L204" s="7" t="s">
        <v>51</v>
      </c>
      <c r="M204" s="7" t="s">
        <v>78</v>
      </c>
    </row>
    <row r="205" spans="1:13" x14ac:dyDescent="0.3">
      <c r="A205" s="10" t="s">
        <v>508</v>
      </c>
      <c r="B205" s="11">
        <v>45481</v>
      </c>
      <c r="C205" s="10" t="s">
        <v>509</v>
      </c>
      <c r="D205" s="10" t="s">
        <v>109</v>
      </c>
      <c r="E205" s="10" t="s">
        <v>70</v>
      </c>
      <c r="F205" s="10" t="s">
        <v>50</v>
      </c>
      <c r="G205" s="10" t="s">
        <v>42</v>
      </c>
      <c r="H205" s="10" t="s">
        <v>66</v>
      </c>
      <c r="I205" s="10">
        <v>13</v>
      </c>
      <c r="J205" s="12">
        <v>18000</v>
      </c>
      <c r="K205" s="10">
        <v>5</v>
      </c>
      <c r="L205" s="10" t="s">
        <v>44</v>
      </c>
      <c r="M205" s="10" t="s">
        <v>123</v>
      </c>
    </row>
    <row r="206" spans="1:13" x14ac:dyDescent="0.3">
      <c r="A206" s="7" t="s">
        <v>510</v>
      </c>
      <c r="B206" s="8">
        <v>45373</v>
      </c>
      <c r="C206" s="7" t="s">
        <v>246</v>
      </c>
      <c r="D206" s="7" t="s">
        <v>55</v>
      </c>
      <c r="E206" s="7" t="s">
        <v>49</v>
      </c>
      <c r="F206" s="7" t="s">
        <v>57</v>
      </c>
      <c r="G206" s="7" t="s">
        <v>42</v>
      </c>
      <c r="H206" s="7" t="s">
        <v>43</v>
      </c>
      <c r="I206" s="7">
        <v>19</v>
      </c>
      <c r="J206" s="9">
        <v>28000</v>
      </c>
      <c r="K206" s="7">
        <v>5</v>
      </c>
      <c r="L206" s="7" t="s">
        <v>44</v>
      </c>
      <c r="M206" s="7" t="s">
        <v>58</v>
      </c>
    </row>
    <row r="207" spans="1:13" x14ac:dyDescent="0.3">
      <c r="A207" s="10" t="s">
        <v>511</v>
      </c>
      <c r="B207" s="11">
        <v>45475</v>
      </c>
      <c r="C207" s="10" t="s">
        <v>512</v>
      </c>
      <c r="D207" s="10" t="s">
        <v>65</v>
      </c>
      <c r="E207" s="10" t="s">
        <v>56</v>
      </c>
      <c r="F207" s="10" t="s">
        <v>41</v>
      </c>
      <c r="G207" s="10" t="s">
        <v>42</v>
      </c>
      <c r="H207" s="10" t="s">
        <v>71</v>
      </c>
      <c r="I207" s="10">
        <v>7</v>
      </c>
      <c r="J207" s="12">
        <v>35000</v>
      </c>
      <c r="K207" s="10">
        <v>20</v>
      </c>
      <c r="L207" s="10" t="s">
        <v>51</v>
      </c>
      <c r="M207" s="10" t="s">
        <v>344</v>
      </c>
    </row>
    <row r="208" spans="1:13" x14ac:dyDescent="0.3">
      <c r="A208" s="7" t="s">
        <v>513</v>
      </c>
      <c r="B208" s="8">
        <v>45542</v>
      </c>
      <c r="C208" s="7" t="s">
        <v>514</v>
      </c>
      <c r="D208" s="7" t="s">
        <v>39</v>
      </c>
      <c r="E208" s="7" t="s">
        <v>70</v>
      </c>
      <c r="F208" s="7" t="s">
        <v>61</v>
      </c>
      <c r="G208" s="7" t="s">
        <v>42</v>
      </c>
      <c r="H208" s="7" t="s">
        <v>43</v>
      </c>
      <c r="I208" s="7">
        <v>10</v>
      </c>
      <c r="J208" s="9">
        <v>22000</v>
      </c>
      <c r="K208" s="7">
        <v>0</v>
      </c>
      <c r="L208" s="7" t="s">
        <v>51</v>
      </c>
      <c r="M208" s="7" t="s">
        <v>62</v>
      </c>
    </row>
    <row r="209" spans="1:13" x14ac:dyDescent="0.3">
      <c r="A209" s="10" t="s">
        <v>515</v>
      </c>
      <c r="B209" s="11">
        <v>45418</v>
      </c>
      <c r="C209" s="10" t="s">
        <v>516</v>
      </c>
      <c r="D209" s="10" t="s">
        <v>141</v>
      </c>
      <c r="E209" s="10" t="s">
        <v>70</v>
      </c>
      <c r="F209" s="10" t="s">
        <v>61</v>
      </c>
      <c r="G209" s="10" t="s">
        <v>42</v>
      </c>
      <c r="H209" s="10" t="s">
        <v>71</v>
      </c>
      <c r="I209" s="10">
        <v>1</v>
      </c>
      <c r="J209" s="12">
        <v>22000</v>
      </c>
      <c r="K209" s="10">
        <v>0</v>
      </c>
      <c r="L209" s="10" t="s">
        <v>86</v>
      </c>
      <c r="M209" s="10" t="s">
        <v>115</v>
      </c>
    </row>
    <row r="210" spans="1:13" x14ac:dyDescent="0.3">
      <c r="A210" s="7" t="s">
        <v>517</v>
      </c>
      <c r="B210" s="8">
        <v>45449</v>
      </c>
      <c r="C210" s="7" t="s">
        <v>518</v>
      </c>
      <c r="D210" s="7" t="s">
        <v>65</v>
      </c>
      <c r="E210" s="7" t="s">
        <v>49</v>
      </c>
      <c r="F210" s="7" t="s">
        <v>50</v>
      </c>
      <c r="G210" s="7" t="s">
        <v>42</v>
      </c>
      <c r="H210" s="7" t="s">
        <v>66</v>
      </c>
      <c r="I210" s="7">
        <v>11</v>
      </c>
      <c r="J210" s="9">
        <v>18000</v>
      </c>
      <c r="K210" s="7">
        <v>10</v>
      </c>
      <c r="L210" s="7" t="s">
        <v>51</v>
      </c>
      <c r="M210" s="7" t="s">
        <v>123</v>
      </c>
    </row>
    <row r="211" spans="1:13" x14ac:dyDescent="0.3">
      <c r="A211" s="10" t="s">
        <v>519</v>
      </c>
      <c r="B211" s="11">
        <v>45507</v>
      </c>
      <c r="C211" s="10" t="s">
        <v>520</v>
      </c>
      <c r="D211" s="10" t="s">
        <v>39</v>
      </c>
      <c r="E211" s="10" t="s">
        <v>56</v>
      </c>
      <c r="F211" s="10" t="s">
        <v>57</v>
      </c>
      <c r="G211" s="10" t="s">
        <v>42</v>
      </c>
      <c r="H211" s="10" t="s">
        <v>43</v>
      </c>
      <c r="I211" s="10">
        <v>5</v>
      </c>
      <c r="J211" s="12">
        <v>28000</v>
      </c>
      <c r="K211" s="10">
        <v>10</v>
      </c>
      <c r="L211" s="10" t="s">
        <v>44</v>
      </c>
      <c r="M211" s="10" t="s">
        <v>58</v>
      </c>
    </row>
    <row r="212" spans="1:13" x14ac:dyDescent="0.3">
      <c r="A212" s="7" t="s">
        <v>521</v>
      </c>
      <c r="B212" s="8">
        <v>45453</v>
      </c>
      <c r="C212" s="7" t="s">
        <v>522</v>
      </c>
      <c r="D212" s="7" t="s">
        <v>141</v>
      </c>
      <c r="E212" s="7" t="s">
        <v>70</v>
      </c>
      <c r="F212" s="7" t="s">
        <v>92</v>
      </c>
      <c r="G212" s="7" t="s">
        <v>77</v>
      </c>
      <c r="H212" s="7" t="s">
        <v>66</v>
      </c>
      <c r="I212" s="7">
        <v>16</v>
      </c>
      <c r="J212" s="9">
        <v>450000</v>
      </c>
      <c r="K212" s="7">
        <v>0</v>
      </c>
      <c r="L212" s="7" t="s">
        <v>44</v>
      </c>
      <c r="M212" s="7" t="s">
        <v>168</v>
      </c>
    </row>
    <row r="213" spans="1:13" x14ac:dyDescent="0.3">
      <c r="A213" s="10" t="s">
        <v>523</v>
      </c>
      <c r="B213" s="11">
        <v>45653</v>
      </c>
      <c r="C213" s="10" t="s">
        <v>524</v>
      </c>
      <c r="D213" s="10" t="s">
        <v>55</v>
      </c>
      <c r="E213" s="10" t="s">
        <v>40</v>
      </c>
      <c r="F213" s="10" t="s">
        <v>61</v>
      </c>
      <c r="G213" s="10" t="s">
        <v>42</v>
      </c>
      <c r="H213" s="10" t="s">
        <v>71</v>
      </c>
      <c r="I213" s="10">
        <v>14</v>
      </c>
      <c r="J213" s="12">
        <v>22000</v>
      </c>
      <c r="K213" s="10">
        <v>0</v>
      </c>
      <c r="L213" s="10" t="s">
        <v>44</v>
      </c>
      <c r="M213" s="10" t="s">
        <v>115</v>
      </c>
    </row>
    <row r="214" spans="1:13" x14ac:dyDescent="0.3">
      <c r="A214" s="7" t="s">
        <v>525</v>
      </c>
      <c r="B214" s="8">
        <v>45358</v>
      </c>
      <c r="C214" s="7" t="s">
        <v>440</v>
      </c>
      <c r="D214" s="7" t="s">
        <v>154</v>
      </c>
      <c r="E214" s="7" t="s">
        <v>49</v>
      </c>
      <c r="F214" s="7" t="s">
        <v>99</v>
      </c>
      <c r="G214" s="7" t="s">
        <v>77</v>
      </c>
      <c r="H214" s="7" t="s">
        <v>71</v>
      </c>
      <c r="I214" s="7">
        <v>1</v>
      </c>
      <c r="J214" s="9">
        <v>95000</v>
      </c>
      <c r="K214" s="7">
        <v>5</v>
      </c>
      <c r="L214" s="7" t="s">
        <v>86</v>
      </c>
      <c r="M214" s="7" t="s">
        <v>100</v>
      </c>
    </row>
    <row r="215" spans="1:13" x14ac:dyDescent="0.3">
      <c r="A215" s="10" t="s">
        <v>526</v>
      </c>
      <c r="B215" s="11">
        <v>45460</v>
      </c>
      <c r="C215" s="10" t="s">
        <v>527</v>
      </c>
      <c r="D215" s="10" t="s">
        <v>141</v>
      </c>
      <c r="E215" s="10" t="s">
        <v>528</v>
      </c>
      <c r="F215" s="10" t="s">
        <v>76</v>
      </c>
      <c r="G215" s="10" t="s">
        <v>77</v>
      </c>
      <c r="H215" s="10" t="s">
        <v>163</v>
      </c>
      <c r="I215" s="10">
        <v>6</v>
      </c>
      <c r="J215" s="12">
        <v>180000</v>
      </c>
      <c r="K215" s="10">
        <v>5</v>
      </c>
      <c r="L215" s="10" t="s">
        <v>239</v>
      </c>
      <c r="M215" s="10" t="s">
        <v>529</v>
      </c>
    </row>
    <row r="216" spans="1:13" x14ac:dyDescent="0.3">
      <c r="A216" s="7" t="s">
        <v>530</v>
      </c>
      <c r="B216" s="8">
        <v>45567</v>
      </c>
      <c r="C216" s="7" t="s">
        <v>531</v>
      </c>
      <c r="D216" s="7" t="s">
        <v>81</v>
      </c>
      <c r="E216" s="7" t="s">
        <v>70</v>
      </c>
      <c r="F216" s="7" t="s">
        <v>92</v>
      </c>
      <c r="G216" s="7" t="s">
        <v>77</v>
      </c>
      <c r="H216" s="7" t="s">
        <v>66</v>
      </c>
      <c r="I216" s="7">
        <v>19</v>
      </c>
      <c r="J216" s="9">
        <v>450000</v>
      </c>
      <c r="K216" s="7">
        <v>5</v>
      </c>
      <c r="L216" s="7" t="s">
        <v>51</v>
      </c>
      <c r="M216" s="7" t="s">
        <v>168</v>
      </c>
    </row>
    <row r="217" spans="1:13" x14ac:dyDescent="0.3">
      <c r="A217" s="10" t="s">
        <v>532</v>
      </c>
      <c r="B217" s="11">
        <v>45384</v>
      </c>
      <c r="C217" s="10" t="s">
        <v>505</v>
      </c>
      <c r="D217" s="10" t="s">
        <v>81</v>
      </c>
      <c r="E217" s="10" t="s">
        <v>40</v>
      </c>
      <c r="F217" s="10" t="s">
        <v>99</v>
      </c>
      <c r="G217" s="10" t="s">
        <v>77</v>
      </c>
      <c r="H217" s="10" t="s">
        <v>43</v>
      </c>
      <c r="I217" s="10">
        <v>5</v>
      </c>
      <c r="J217" s="12">
        <v>95000</v>
      </c>
      <c r="K217" s="10">
        <v>10</v>
      </c>
      <c r="L217" s="10" t="s">
        <v>44</v>
      </c>
      <c r="M217" s="10" t="s">
        <v>149</v>
      </c>
    </row>
    <row r="218" spans="1:13" x14ac:dyDescent="0.3">
      <c r="A218" s="7" t="s">
        <v>533</v>
      </c>
      <c r="B218" s="8">
        <v>45398</v>
      </c>
      <c r="C218" s="7" t="s">
        <v>534</v>
      </c>
      <c r="D218" s="7" t="s">
        <v>81</v>
      </c>
      <c r="E218" s="7" t="s">
        <v>70</v>
      </c>
      <c r="F218" s="7" t="s">
        <v>41</v>
      </c>
      <c r="G218" s="7" t="s">
        <v>42</v>
      </c>
      <c r="H218" s="7" t="s">
        <v>66</v>
      </c>
      <c r="I218" s="7">
        <v>1</v>
      </c>
      <c r="J218" s="9">
        <v>35000</v>
      </c>
      <c r="K218" s="7">
        <v>0</v>
      </c>
      <c r="L218" s="7" t="s">
        <v>51</v>
      </c>
      <c r="M218" s="7" t="s">
        <v>180</v>
      </c>
    </row>
    <row r="219" spans="1:13" x14ac:dyDescent="0.3">
      <c r="A219" s="10" t="s">
        <v>535</v>
      </c>
      <c r="B219" s="11">
        <v>45437</v>
      </c>
      <c r="C219" s="10" t="s">
        <v>536</v>
      </c>
      <c r="D219" s="10" t="s">
        <v>48</v>
      </c>
      <c r="E219" s="10" t="s">
        <v>70</v>
      </c>
      <c r="F219" s="10" t="s">
        <v>41</v>
      </c>
      <c r="G219" s="10" t="s">
        <v>42</v>
      </c>
      <c r="H219" s="10" t="s">
        <v>66</v>
      </c>
      <c r="I219" s="10">
        <v>15</v>
      </c>
      <c r="J219" s="12">
        <v>35000</v>
      </c>
      <c r="K219" s="10">
        <v>20</v>
      </c>
      <c r="L219" s="10" t="s">
        <v>51</v>
      </c>
      <c r="M219" s="10" t="s">
        <v>180</v>
      </c>
    </row>
    <row r="220" spans="1:13" x14ac:dyDescent="0.3">
      <c r="A220" s="7" t="s">
        <v>537</v>
      </c>
      <c r="B220" s="8">
        <v>45468</v>
      </c>
      <c r="C220" s="7" t="s">
        <v>538</v>
      </c>
      <c r="D220" s="7" t="s">
        <v>141</v>
      </c>
      <c r="E220" s="7" t="s">
        <v>49</v>
      </c>
      <c r="F220" s="7" t="s">
        <v>92</v>
      </c>
      <c r="G220" s="7" t="s">
        <v>77</v>
      </c>
      <c r="H220" s="7" t="s">
        <v>66</v>
      </c>
      <c r="I220" s="7">
        <v>13</v>
      </c>
      <c r="J220" s="9">
        <v>450000</v>
      </c>
      <c r="K220" s="7">
        <v>20</v>
      </c>
      <c r="L220" s="7" t="s">
        <v>51</v>
      </c>
      <c r="M220" s="7" t="s">
        <v>168</v>
      </c>
    </row>
    <row r="221" spans="1:13" x14ac:dyDescent="0.3">
      <c r="A221" s="10" t="s">
        <v>539</v>
      </c>
      <c r="B221" s="11">
        <v>45510</v>
      </c>
      <c r="C221" s="10" t="s">
        <v>540</v>
      </c>
      <c r="D221" s="10" t="s">
        <v>109</v>
      </c>
      <c r="E221" s="10" t="s">
        <v>40</v>
      </c>
      <c r="F221" s="10" t="s">
        <v>76</v>
      </c>
      <c r="G221" s="10" t="s">
        <v>77</v>
      </c>
      <c r="H221" s="10" t="s">
        <v>66</v>
      </c>
      <c r="I221" s="10">
        <v>13</v>
      </c>
      <c r="J221" s="12">
        <v>180000</v>
      </c>
      <c r="K221" s="10">
        <v>20</v>
      </c>
      <c r="L221" s="10" t="s">
        <v>51</v>
      </c>
      <c r="M221" s="10" t="s">
        <v>78</v>
      </c>
    </row>
    <row r="222" spans="1:13" x14ac:dyDescent="0.3">
      <c r="A222" s="7" t="s">
        <v>541</v>
      </c>
      <c r="B222" s="8">
        <v>45476</v>
      </c>
      <c r="C222" s="7" t="s">
        <v>542</v>
      </c>
      <c r="D222" s="7" t="s">
        <v>109</v>
      </c>
      <c r="E222" s="7" t="s">
        <v>49</v>
      </c>
      <c r="F222" s="7" t="s">
        <v>92</v>
      </c>
      <c r="G222" s="7" t="s">
        <v>77</v>
      </c>
      <c r="H222" s="7" t="s">
        <v>43</v>
      </c>
      <c r="I222" s="7">
        <v>14</v>
      </c>
      <c r="J222" s="9">
        <v>450000</v>
      </c>
      <c r="K222" s="7">
        <v>15</v>
      </c>
      <c r="L222" s="7" t="s">
        <v>51</v>
      </c>
      <c r="M222" s="7" t="s">
        <v>106</v>
      </c>
    </row>
    <row r="223" spans="1:13" x14ac:dyDescent="0.3">
      <c r="A223" s="10" t="s">
        <v>543</v>
      </c>
      <c r="B223" s="11">
        <v>45387</v>
      </c>
      <c r="C223" s="10" t="s">
        <v>276</v>
      </c>
      <c r="D223" s="10" t="s">
        <v>55</v>
      </c>
      <c r="E223" s="10" t="s">
        <v>70</v>
      </c>
      <c r="F223" s="10" t="s">
        <v>92</v>
      </c>
      <c r="G223" s="10" t="s">
        <v>77</v>
      </c>
      <c r="H223" s="10" t="s">
        <v>66</v>
      </c>
      <c r="I223" s="10">
        <v>20</v>
      </c>
      <c r="J223" s="12">
        <v>450000</v>
      </c>
      <c r="K223" s="10">
        <v>0</v>
      </c>
      <c r="L223" s="10" t="s">
        <v>51</v>
      </c>
      <c r="M223" s="10" t="s">
        <v>168</v>
      </c>
    </row>
    <row r="224" spans="1:13" x14ac:dyDescent="0.3">
      <c r="A224" s="7" t="s">
        <v>544</v>
      </c>
      <c r="B224" s="8">
        <v>45420</v>
      </c>
      <c r="C224" s="7" t="s">
        <v>545</v>
      </c>
      <c r="D224" s="7" t="s">
        <v>39</v>
      </c>
      <c r="E224" s="7" t="s">
        <v>40</v>
      </c>
      <c r="F224" s="7" t="s">
        <v>92</v>
      </c>
      <c r="G224" s="7" t="s">
        <v>77</v>
      </c>
      <c r="H224" s="7" t="s">
        <v>71</v>
      </c>
      <c r="I224" s="7">
        <v>4</v>
      </c>
      <c r="J224" s="9">
        <v>450000</v>
      </c>
      <c r="K224" s="7">
        <v>0</v>
      </c>
      <c r="L224" s="7" t="s">
        <v>51</v>
      </c>
      <c r="M224" s="7" t="s">
        <v>93</v>
      </c>
    </row>
    <row r="225" spans="1:13" x14ac:dyDescent="0.3">
      <c r="A225" s="10" t="s">
        <v>546</v>
      </c>
      <c r="B225" s="11">
        <v>45461</v>
      </c>
      <c r="C225" s="10" t="s">
        <v>547</v>
      </c>
      <c r="D225" s="10" t="s">
        <v>65</v>
      </c>
      <c r="E225" s="10" t="s">
        <v>70</v>
      </c>
      <c r="F225" s="10" t="s">
        <v>57</v>
      </c>
      <c r="G225" s="10" t="s">
        <v>42</v>
      </c>
      <c r="H225" s="10" t="s">
        <v>66</v>
      </c>
      <c r="I225" s="10">
        <v>14</v>
      </c>
      <c r="J225" s="12">
        <v>28000</v>
      </c>
      <c r="K225" s="10">
        <v>5</v>
      </c>
      <c r="L225" s="10" t="s">
        <v>51</v>
      </c>
      <c r="M225" s="10" t="s">
        <v>67</v>
      </c>
    </row>
    <row r="226" spans="1:13" x14ac:dyDescent="0.3">
      <c r="A226" s="7" t="s">
        <v>548</v>
      </c>
      <c r="B226" s="8">
        <v>45400</v>
      </c>
      <c r="C226" s="7" t="s">
        <v>549</v>
      </c>
      <c r="D226" s="7" t="s">
        <v>55</v>
      </c>
      <c r="E226" s="7" t="s">
        <v>49</v>
      </c>
      <c r="F226" s="7" t="s">
        <v>76</v>
      </c>
      <c r="G226" s="7" t="s">
        <v>77</v>
      </c>
      <c r="H226" s="7" t="s">
        <v>43</v>
      </c>
      <c r="I226" s="7">
        <v>4</v>
      </c>
      <c r="J226" s="9">
        <v>180000</v>
      </c>
      <c r="K226" s="7">
        <v>0</v>
      </c>
      <c r="L226" s="7" t="s">
        <v>51</v>
      </c>
      <c r="M226" s="7" t="s">
        <v>221</v>
      </c>
    </row>
    <row r="227" spans="1:13" x14ac:dyDescent="0.3">
      <c r="A227" s="10" t="s">
        <v>550</v>
      </c>
      <c r="B227" s="11">
        <v>45484</v>
      </c>
      <c r="C227" s="10" t="s">
        <v>551</v>
      </c>
      <c r="D227" s="10" t="s">
        <v>154</v>
      </c>
      <c r="E227" s="10" t="s">
        <v>40</v>
      </c>
      <c r="F227" s="10" t="s">
        <v>99</v>
      </c>
      <c r="G227" s="10" t="s">
        <v>77</v>
      </c>
      <c r="H227" s="10" t="s">
        <v>71</v>
      </c>
      <c r="I227" s="10">
        <v>17</v>
      </c>
      <c r="J227" s="12">
        <v>95000</v>
      </c>
      <c r="K227" s="10">
        <v>0</v>
      </c>
      <c r="L227" s="10" t="s">
        <v>51</v>
      </c>
      <c r="M227" s="10" t="s">
        <v>100</v>
      </c>
    </row>
    <row r="228" spans="1:13" x14ac:dyDescent="0.3">
      <c r="A228" s="7" t="s">
        <v>552</v>
      </c>
      <c r="B228" s="8">
        <v>45375</v>
      </c>
      <c r="C228" s="7" t="s">
        <v>553</v>
      </c>
      <c r="D228" s="7" t="s">
        <v>154</v>
      </c>
      <c r="E228" s="7" t="s">
        <v>49</v>
      </c>
      <c r="F228" s="7" t="s">
        <v>99</v>
      </c>
      <c r="G228" s="7" t="s">
        <v>77</v>
      </c>
      <c r="H228" s="7" t="s">
        <v>66</v>
      </c>
      <c r="I228" s="7">
        <v>18</v>
      </c>
      <c r="J228" s="9">
        <v>95000</v>
      </c>
      <c r="K228" s="7">
        <v>5</v>
      </c>
      <c r="L228" s="7" t="s">
        <v>51</v>
      </c>
      <c r="M228" s="7" t="s">
        <v>232</v>
      </c>
    </row>
    <row r="229" spans="1:13" x14ac:dyDescent="0.3">
      <c r="A229" s="10" t="s">
        <v>554</v>
      </c>
      <c r="B229" s="11">
        <v>45553</v>
      </c>
      <c r="C229" s="10" t="s">
        <v>555</v>
      </c>
      <c r="D229" s="10" t="s">
        <v>154</v>
      </c>
      <c r="E229" s="10" t="s">
        <v>70</v>
      </c>
      <c r="F229" s="10" t="s">
        <v>57</v>
      </c>
      <c r="G229" s="10" t="s">
        <v>42</v>
      </c>
      <c r="H229" s="10" t="s">
        <v>43</v>
      </c>
      <c r="I229" s="10">
        <v>8</v>
      </c>
      <c r="J229" s="12">
        <v>28000</v>
      </c>
      <c r="K229" s="10">
        <v>15</v>
      </c>
      <c r="L229" s="10" t="s">
        <v>51</v>
      </c>
      <c r="M229" s="10" t="s">
        <v>58</v>
      </c>
    </row>
    <row r="230" spans="1:13" x14ac:dyDescent="0.3">
      <c r="A230" s="7" t="s">
        <v>556</v>
      </c>
      <c r="B230" s="8">
        <v>45632</v>
      </c>
      <c r="C230" s="7" t="s">
        <v>557</v>
      </c>
      <c r="D230" s="7" t="s">
        <v>75</v>
      </c>
      <c r="E230" s="7" t="s">
        <v>40</v>
      </c>
      <c r="F230" s="7" t="s">
        <v>76</v>
      </c>
      <c r="G230" s="7" t="s">
        <v>77</v>
      </c>
      <c r="H230" s="7" t="s">
        <v>71</v>
      </c>
      <c r="I230" s="7">
        <v>5</v>
      </c>
      <c r="J230" s="9">
        <v>180000</v>
      </c>
      <c r="K230" s="7">
        <v>0</v>
      </c>
      <c r="L230" s="7" t="s">
        <v>51</v>
      </c>
      <c r="M230" s="7" t="s">
        <v>142</v>
      </c>
    </row>
    <row r="231" spans="1:13" x14ac:dyDescent="0.3">
      <c r="A231" s="10" t="s">
        <v>558</v>
      </c>
      <c r="B231" s="11">
        <v>45433</v>
      </c>
      <c r="C231" s="10" t="s">
        <v>559</v>
      </c>
      <c r="D231" s="10" t="s">
        <v>48</v>
      </c>
      <c r="E231" s="10" t="s">
        <v>49</v>
      </c>
      <c r="F231" s="10" t="s">
        <v>61</v>
      </c>
      <c r="G231" s="10" t="s">
        <v>42</v>
      </c>
      <c r="H231" s="10" t="s">
        <v>66</v>
      </c>
      <c r="I231" s="10">
        <v>15</v>
      </c>
      <c r="J231" s="12">
        <v>22000</v>
      </c>
      <c r="K231" s="10">
        <v>15</v>
      </c>
      <c r="L231" s="10" t="s">
        <v>51</v>
      </c>
      <c r="M231" s="10" t="s">
        <v>87</v>
      </c>
    </row>
    <row r="232" spans="1:13" x14ac:dyDescent="0.3">
      <c r="A232" s="7" t="s">
        <v>560</v>
      </c>
      <c r="B232" s="8">
        <v>45588</v>
      </c>
      <c r="C232" s="7" t="s">
        <v>561</v>
      </c>
      <c r="D232" s="7" t="s">
        <v>75</v>
      </c>
      <c r="E232" s="7" t="s">
        <v>70</v>
      </c>
      <c r="F232" s="7" t="s">
        <v>41</v>
      </c>
      <c r="G232" s="7" t="s">
        <v>42</v>
      </c>
      <c r="H232" s="7" t="s">
        <v>71</v>
      </c>
      <c r="I232" s="7">
        <v>8</v>
      </c>
      <c r="J232" s="9">
        <v>35000</v>
      </c>
      <c r="K232" s="7">
        <v>15</v>
      </c>
      <c r="L232" s="7" t="s">
        <v>51</v>
      </c>
      <c r="M232" s="7" t="s">
        <v>344</v>
      </c>
    </row>
    <row r="233" spans="1:13" x14ac:dyDescent="0.3">
      <c r="A233" s="10" t="s">
        <v>562</v>
      </c>
      <c r="B233" s="11">
        <v>45476</v>
      </c>
      <c r="C233" s="10" t="s">
        <v>159</v>
      </c>
      <c r="D233" s="10" t="s">
        <v>154</v>
      </c>
      <c r="E233" s="10" t="s">
        <v>40</v>
      </c>
      <c r="F233" s="10" t="s">
        <v>50</v>
      </c>
      <c r="G233" s="10" t="s">
        <v>42</v>
      </c>
      <c r="H233" s="10" t="s">
        <v>563</v>
      </c>
      <c r="I233" s="10">
        <v>3</v>
      </c>
      <c r="J233" s="12">
        <v>18000</v>
      </c>
      <c r="K233" s="10">
        <v>15</v>
      </c>
      <c r="L233" s="10" t="s">
        <v>131</v>
      </c>
      <c r="M233" s="10" t="s">
        <v>564</v>
      </c>
    </row>
    <row r="234" spans="1:13" x14ac:dyDescent="0.3">
      <c r="A234" s="7" t="s">
        <v>565</v>
      </c>
      <c r="B234" s="8">
        <v>45543</v>
      </c>
      <c r="C234" s="7" t="s">
        <v>566</v>
      </c>
      <c r="D234" s="7" t="s">
        <v>81</v>
      </c>
      <c r="E234" s="7"/>
      <c r="F234" s="7" t="s">
        <v>82</v>
      </c>
      <c r="G234" s="7" t="s">
        <v>77</v>
      </c>
      <c r="H234" s="7" t="s">
        <v>66</v>
      </c>
      <c r="I234" s="7">
        <v>7</v>
      </c>
      <c r="J234" s="9">
        <v>220000</v>
      </c>
      <c r="K234" s="7">
        <v>15</v>
      </c>
      <c r="L234" s="7" t="s">
        <v>51</v>
      </c>
      <c r="M234" s="7" t="s">
        <v>103</v>
      </c>
    </row>
    <row r="235" spans="1:13" x14ac:dyDescent="0.3">
      <c r="A235" s="10" t="s">
        <v>567</v>
      </c>
      <c r="B235" s="11">
        <v>45373</v>
      </c>
      <c r="C235" s="10" t="s">
        <v>568</v>
      </c>
      <c r="D235" s="10" t="s">
        <v>48</v>
      </c>
      <c r="E235" s="10" t="s">
        <v>49</v>
      </c>
      <c r="F235" s="10" t="s">
        <v>57</v>
      </c>
      <c r="G235" s="10" t="s">
        <v>42</v>
      </c>
      <c r="H235" s="10" t="s">
        <v>66</v>
      </c>
      <c r="I235" s="10">
        <v>19</v>
      </c>
      <c r="J235" s="12">
        <v>28000</v>
      </c>
      <c r="K235" s="10">
        <v>10</v>
      </c>
      <c r="L235" s="10" t="s">
        <v>44</v>
      </c>
      <c r="M235" s="10" t="s">
        <v>67</v>
      </c>
    </row>
    <row r="236" spans="1:13" x14ac:dyDescent="0.3">
      <c r="A236" s="7" t="s">
        <v>569</v>
      </c>
      <c r="B236" s="8">
        <v>45580</v>
      </c>
      <c r="C236" s="7" t="s">
        <v>570</v>
      </c>
      <c r="D236" s="7" t="s">
        <v>109</v>
      </c>
      <c r="E236" s="7" t="s">
        <v>40</v>
      </c>
      <c r="F236" s="7" t="s">
        <v>57</v>
      </c>
      <c r="G236" s="7" t="s">
        <v>42</v>
      </c>
      <c r="H236" s="7" t="s">
        <v>66</v>
      </c>
      <c r="I236" s="7">
        <v>15</v>
      </c>
      <c r="J236" s="9">
        <v>28000</v>
      </c>
      <c r="K236" s="7">
        <v>5</v>
      </c>
      <c r="L236" s="7" t="s">
        <v>51</v>
      </c>
      <c r="M236" s="7" t="s">
        <v>67</v>
      </c>
    </row>
    <row r="237" spans="1:13" x14ac:dyDescent="0.3">
      <c r="A237" s="10" t="s">
        <v>571</v>
      </c>
      <c r="B237" s="11">
        <v>45451</v>
      </c>
      <c r="C237" s="10" t="s">
        <v>572</v>
      </c>
      <c r="D237" s="10" t="s">
        <v>118</v>
      </c>
      <c r="E237" s="10" t="s">
        <v>40</v>
      </c>
      <c r="F237" s="10" t="s">
        <v>92</v>
      </c>
      <c r="G237" s="10" t="s">
        <v>77</v>
      </c>
      <c r="H237" s="10" t="s">
        <v>66</v>
      </c>
      <c r="I237" s="10">
        <v>3</v>
      </c>
      <c r="J237" s="12">
        <v>450000</v>
      </c>
      <c r="K237" s="10">
        <v>0</v>
      </c>
      <c r="L237" s="10" t="s">
        <v>86</v>
      </c>
      <c r="M237" s="10" t="s">
        <v>168</v>
      </c>
    </row>
    <row r="238" spans="1:13" x14ac:dyDescent="0.3">
      <c r="A238" s="7" t="s">
        <v>573</v>
      </c>
      <c r="B238" s="8">
        <v>45528</v>
      </c>
      <c r="C238" s="7" t="s">
        <v>574</v>
      </c>
      <c r="D238" s="7" t="s">
        <v>81</v>
      </c>
      <c r="E238" s="7" t="s">
        <v>40</v>
      </c>
      <c r="F238" s="7" t="s">
        <v>99</v>
      </c>
      <c r="G238" s="7" t="s">
        <v>77</v>
      </c>
      <c r="H238" s="7" t="s">
        <v>71</v>
      </c>
      <c r="I238" s="7">
        <v>2</v>
      </c>
      <c r="J238" s="9">
        <v>95000</v>
      </c>
      <c r="K238" s="7">
        <v>5</v>
      </c>
      <c r="L238" s="7" t="s">
        <v>51</v>
      </c>
      <c r="M238" s="7" t="s">
        <v>100</v>
      </c>
    </row>
    <row r="239" spans="1:13" x14ac:dyDescent="0.3">
      <c r="A239" s="10" t="s">
        <v>575</v>
      </c>
      <c r="B239" s="11">
        <v>45467</v>
      </c>
      <c r="C239" s="10" t="s">
        <v>576</v>
      </c>
      <c r="D239" s="10" t="s">
        <v>39</v>
      </c>
      <c r="E239" s="10" t="s">
        <v>40</v>
      </c>
      <c r="F239" s="10" t="s">
        <v>76</v>
      </c>
      <c r="G239" s="10" t="s">
        <v>77</v>
      </c>
      <c r="H239" s="10" t="s">
        <v>71</v>
      </c>
      <c r="I239" s="10">
        <v>20</v>
      </c>
      <c r="J239" s="12">
        <v>180000</v>
      </c>
      <c r="K239" s="10">
        <v>5</v>
      </c>
      <c r="L239" s="10" t="s">
        <v>51</v>
      </c>
      <c r="M239" s="10" t="s">
        <v>142</v>
      </c>
    </row>
    <row r="240" spans="1:13" x14ac:dyDescent="0.3">
      <c r="A240" s="7" t="s">
        <v>577</v>
      </c>
      <c r="B240" s="8">
        <v>45359</v>
      </c>
      <c r="C240" s="7" t="s">
        <v>578</v>
      </c>
      <c r="D240" s="7" t="s">
        <v>48</v>
      </c>
      <c r="E240" s="7" t="s">
        <v>40</v>
      </c>
      <c r="F240" s="7" t="s">
        <v>82</v>
      </c>
      <c r="G240" s="7" t="s">
        <v>77</v>
      </c>
      <c r="H240" s="7" t="s">
        <v>66</v>
      </c>
      <c r="I240" s="7">
        <v>20</v>
      </c>
      <c r="J240" s="9">
        <v>220000</v>
      </c>
      <c r="K240" s="7">
        <v>15</v>
      </c>
      <c r="L240" s="7" t="s">
        <v>51</v>
      </c>
      <c r="M240" s="7" t="s">
        <v>103</v>
      </c>
    </row>
    <row r="241" spans="1:13" x14ac:dyDescent="0.3">
      <c r="A241" s="10" t="s">
        <v>579</v>
      </c>
      <c r="B241" s="11">
        <v>45309</v>
      </c>
      <c r="C241" s="10" t="s">
        <v>580</v>
      </c>
      <c r="D241" s="10" t="s">
        <v>39</v>
      </c>
      <c r="E241" s="10" t="s">
        <v>70</v>
      </c>
      <c r="F241" s="10" t="s">
        <v>92</v>
      </c>
      <c r="G241" s="10" t="s">
        <v>77</v>
      </c>
      <c r="H241" s="10" t="s">
        <v>66</v>
      </c>
      <c r="I241" s="10">
        <v>16</v>
      </c>
      <c r="J241" s="12">
        <v>450000</v>
      </c>
      <c r="K241" s="10">
        <v>0</v>
      </c>
      <c r="L241" s="10" t="s">
        <v>51</v>
      </c>
      <c r="M241" s="10" t="s">
        <v>168</v>
      </c>
    </row>
    <row r="242" spans="1:13" x14ac:dyDescent="0.3">
      <c r="A242" s="7" t="s">
        <v>581</v>
      </c>
      <c r="B242" s="8">
        <v>45452</v>
      </c>
      <c r="C242" s="7" t="s">
        <v>582</v>
      </c>
      <c r="D242" s="7" t="s">
        <v>65</v>
      </c>
      <c r="E242" s="7" t="s">
        <v>56</v>
      </c>
      <c r="F242" s="7" t="s">
        <v>41</v>
      </c>
      <c r="G242" s="7" t="s">
        <v>42</v>
      </c>
      <c r="H242" s="7" t="s">
        <v>130</v>
      </c>
      <c r="I242" s="7">
        <v>10</v>
      </c>
      <c r="J242" s="9">
        <v>35000</v>
      </c>
      <c r="K242" s="7">
        <v>0</v>
      </c>
      <c r="L242" s="7" t="s">
        <v>174</v>
      </c>
      <c r="M242" s="7" t="s">
        <v>319</v>
      </c>
    </row>
    <row r="243" spans="1:13" x14ac:dyDescent="0.3">
      <c r="A243" s="10" t="s">
        <v>169</v>
      </c>
      <c r="B243" s="11">
        <v>45419</v>
      </c>
      <c r="C243" s="10" t="s">
        <v>170</v>
      </c>
      <c r="D243" s="10" t="s">
        <v>48</v>
      </c>
      <c r="E243" s="10" t="s">
        <v>528</v>
      </c>
      <c r="F243" s="10" t="s">
        <v>41</v>
      </c>
      <c r="G243" s="10" t="s">
        <v>42</v>
      </c>
      <c r="H243" s="10" t="s">
        <v>43</v>
      </c>
      <c r="I243" s="10">
        <v>2</v>
      </c>
      <c r="J243" s="12">
        <v>35000</v>
      </c>
      <c r="K243" s="10">
        <v>5</v>
      </c>
      <c r="L243" s="10" t="s">
        <v>86</v>
      </c>
      <c r="M243" s="10" t="s">
        <v>45</v>
      </c>
    </row>
    <row r="244" spans="1:13" x14ac:dyDescent="0.3">
      <c r="A244" s="7" t="s">
        <v>583</v>
      </c>
      <c r="B244" s="8">
        <v>45611</v>
      </c>
      <c r="C244" s="7" t="s">
        <v>584</v>
      </c>
      <c r="D244" s="7" t="s">
        <v>48</v>
      </c>
      <c r="E244" s="7" t="s">
        <v>56</v>
      </c>
      <c r="F244" s="7" t="s">
        <v>99</v>
      </c>
      <c r="G244" s="7" t="s">
        <v>77</v>
      </c>
      <c r="H244" s="7" t="s">
        <v>66</v>
      </c>
      <c r="I244" s="7">
        <v>20</v>
      </c>
      <c r="J244" s="9">
        <v>95000</v>
      </c>
      <c r="K244" s="7">
        <v>0</v>
      </c>
      <c r="L244" s="7" t="s">
        <v>51</v>
      </c>
      <c r="M244" s="7" t="s">
        <v>232</v>
      </c>
    </row>
    <row r="245" spans="1:13" x14ac:dyDescent="0.3">
      <c r="A245" s="10" t="s">
        <v>251</v>
      </c>
      <c r="B245" s="11">
        <v>45525</v>
      </c>
      <c r="C245" s="10" t="s">
        <v>252</v>
      </c>
      <c r="D245" s="10" t="s">
        <v>55</v>
      </c>
      <c r="E245" s="10" t="s">
        <v>40</v>
      </c>
      <c r="F245" s="10" t="s">
        <v>92</v>
      </c>
      <c r="G245" s="10" t="s">
        <v>77</v>
      </c>
      <c r="H245" s="10" t="s">
        <v>66</v>
      </c>
      <c r="I245" s="10">
        <v>11</v>
      </c>
      <c r="J245" s="12">
        <v>450000</v>
      </c>
      <c r="K245" s="10">
        <v>0</v>
      </c>
      <c r="L245" s="10" t="s">
        <v>51</v>
      </c>
      <c r="M245" s="10" t="s">
        <v>168</v>
      </c>
    </row>
    <row r="246" spans="1:13" x14ac:dyDescent="0.3">
      <c r="A246" s="7" t="s">
        <v>585</v>
      </c>
      <c r="B246" s="8">
        <v>45447</v>
      </c>
      <c r="C246" s="7" t="s">
        <v>586</v>
      </c>
      <c r="D246" s="7" t="s">
        <v>75</v>
      </c>
      <c r="E246" s="7" t="s">
        <v>56</v>
      </c>
      <c r="F246" s="7" t="s">
        <v>99</v>
      </c>
      <c r="G246" s="7" t="s">
        <v>77</v>
      </c>
      <c r="H246" s="7" t="s">
        <v>71</v>
      </c>
      <c r="I246" s="7">
        <v>8</v>
      </c>
      <c r="J246" s="9">
        <v>95000</v>
      </c>
      <c r="K246" s="7"/>
      <c r="L246" s="7" t="s">
        <v>86</v>
      </c>
      <c r="M246" s="7" t="s">
        <v>100</v>
      </c>
    </row>
    <row r="247" spans="1:13" x14ac:dyDescent="0.3">
      <c r="A247" s="10" t="s">
        <v>587</v>
      </c>
      <c r="B247" s="11">
        <v>45606</v>
      </c>
      <c r="C247" s="10" t="s">
        <v>588</v>
      </c>
      <c r="D247" s="10" t="s">
        <v>48</v>
      </c>
      <c r="E247" s="10" t="s">
        <v>70</v>
      </c>
      <c r="F247" s="10" t="s">
        <v>99</v>
      </c>
      <c r="G247" s="10" t="s">
        <v>77</v>
      </c>
      <c r="H247" s="10" t="s">
        <v>71</v>
      </c>
      <c r="I247" s="10">
        <v>16</v>
      </c>
      <c r="J247" s="12">
        <v>95000</v>
      </c>
      <c r="K247" s="10">
        <v>5</v>
      </c>
      <c r="L247" s="10" t="s">
        <v>51</v>
      </c>
      <c r="M247" s="10" t="s">
        <v>100</v>
      </c>
    </row>
    <row r="248" spans="1:13" x14ac:dyDescent="0.3">
      <c r="A248" s="7" t="s">
        <v>589</v>
      </c>
      <c r="B248" s="8">
        <v>45606</v>
      </c>
      <c r="C248" s="7" t="s">
        <v>590</v>
      </c>
      <c r="D248" s="7" t="s">
        <v>39</v>
      </c>
      <c r="E248" s="7" t="s">
        <v>70</v>
      </c>
      <c r="F248" s="7" t="s">
        <v>57</v>
      </c>
      <c r="G248" s="7" t="s">
        <v>42</v>
      </c>
      <c r="H248" s="7" t="s">
        <v>71</v>
      </c>
      <c r="I248" s="7">
        <v>18</v>
      </c>
      <c r="J248" s="9">
        <v>28000</v>
      </c>
      <c r="K248" s="7">
        <v>0</v>
      </c>
      <c r="L248" s="7" t="s">
        <v>51</v>
      </c>
      <c r="M248" s="7" t="s">
        <v>96</v>
      </c>
    </row>
    <row r="249" spans="1:13" x14ac:dyDescent="0.3">
      <c r="A249" s="10" t="s">
        <v>591</v>
      </c>
      <c r="B249" s="11">
        <v>45305</v>
      </c>
      <c r="C249" s="10" t="s">
        <v>592</v>
      </c>
      <c r="D249" s="10" t="s">
        <v>81</v>
      </c>
      <c r="E249" s="10" t="s">
        <v>40</v>
      </c>
      <c r="F249" s="10" t="s">
        <v>57</v>
      </c>
      <c r="G249" s="10" t="s">
        <v>42</v>
      </c>
      <c r="H249" s="10" t="s">
        <v>71</v>
      </c>
      <c r="I249" s="10">
        <v>19</v>
      </c>
      <c r="J249" s="12">
        <v>28000</v>
      </c>
      <c r="K249" s="10">
        <v>0</v>
      </c>
      <c r="L249" s="10" t="s">
        <v>44</v>
      </c>
      <c r="M249" s="10" t="s">
        <v>96</v>
      </c>
    </row>
    <row r="250" spans="1:13" x14ac:dyDescent="0.3">
      <c r="A250" s="7" t="s">
        <v>593</v>
      </c>
      <c r="B250" s="8">
        <v>45532</v>
      </c>
      <c r="C250" s="7" t="s">
        <v>594</v>
      </c>
      <c r="D250" s="7" t="s">
        <v>39</v>
      </c>
      <c r="E250" s="7" t="s">
        <v>49</v>
      </c>
      <c r="F250" s="7" t="s">
        <v>61</v>
      </c>
      <c r="G250" s="7" t="s">
        <v>42</v>
      </c>
      <c r="H250" s="7" t="s">
        <v>71</v>
      </c>
      <c r="I250" s="7">
        <v>17</v>
      </c>
      <c r="J250" s="9">
        <v>22000</v>
      </c>
      <c r="K250" s="7">
        <v>20</v>
      </c>
      <c r="L250" s="7" t="s">
        <v>51</v>
      </c>
      <c r="M250" s="7" t="s">
        <v>115</v>
      </c>
    </row>
    <row r="251" spans="1:13" x14ac:dyDescent="0.3">
      <c r="A251" s="10" t="s">
        <v>595</v>
      </c>
      <c r="B251" s="11">
        <v>45491</v>
      </c>
      <c r="C251" s="10" t="s">
        <v>596</v>
      </c>
      <c r="D251" s="10" t="s">
        <v>154</v>
      </c>
      <c r="E251" s="10" t="s">
        <v>49</v>
      </c>
      <c r="F251" s="10" t="s">
        <v>57</v>
      </c>
      <c r="G251" s="10" t="s">
        <v>42</v>
      </c>
      <c r="H251" s="10" t="s">
        <v>43</v>
      </c>
      <c r="I251" s="10">
        <v>13</v>
      </c>
      <c r="J251" s="12">
        <v>28000</v>
      </c>
      <c r="K251" s="10">
        <v>20</v>
      </c>
      <c r="L251" s="10" t="s">
        <v>131</v>
      </c>
      <c r="M251" s="10" t="s">
        <v>58</v>
      </c>
    </row>
    <row r="252" spans="1:13" x14ac:dyDescent="0.3">
      <c r="A252" s="7" t="s">
        <v>597</v>
      </c>
      <c r="B252" s="8">
        <v>45647</v>
      </c>
      <c r="C252" s="7" t="s">
        <v>594</v>
      </c>
      <c r="D252" s="7" t="s">
        <v>154</v>
      </c>
      <c r="E252" s="7" t="s">
        <v>40</v>
      </c>
      <c r="F252" s="7" t="s">
        <v>598</v>
      </c>
      <c r="G252" s="7" t="s">
        <v>77</v>
      </c>
      <c r="H252" s="7"/>
      <c r="I252" s="7">
        <v>9</v>
      </c>
      <c r="J252" s="9">
        <v>0</v>
      </c>
      <c r="K252" s="7">
        <v>0</v>
      </c>
      <c r="L252" s="7" t="s">
        <v>86</v>
      </c>
      <c r="M252" s="7" t="s">
        <v>599</v>
      </c>
    </row>
    <row r="253" spans="1:13" x14ac:dyDescent="0.3">
      <c r="A253" s="10" t="s">
        <v>600</v>
      </c>
      <c r="B253" s="11">
        <v>45608</v>
      </c>
      <c r="C253" s="10" t="s">
        <v>601</v>
      </c>
      <c r="D253" s="10" t="s">
        <v>118</v>
      </c>
      <c r="E253" s="10" t="s">
        <v>49</v>
      </c>
      <c r="F253" s="10" t="s">
        <v>99</v>
      </c>
      <c r="G253" s="10" t="s">
        <v>77</v>
      </c>
      <c r="H253" s="10" t="s">
        <v>71</v>
      </c>
      <c r="I253" s="10">
        <v>8</v>
      </c>
      <c r="J253" s="12">
        <v>95000</v>
      </c>
      <c r="K253" s="10">
        <v>15</v>
      </c>
      <c r="L253" s="10" t="s">
        <v>51</v>
      </c>
      <c r="M253" s="10" t="s">
        <v>100</v>
      </c>
    </row>
    <row r="254" spans="1:13" x14ac:dyDescent="0.3">
      <c r="A254" s="7" t="s">
        <v>602</v>
      </c>
      <c r="B254" s="8">
        <v>45423</v>
      </c>
      <c r="C254" s="7" t="s">
        <v>603</v>
      </c>
      <c r="D254" s="7" t="s">
        <v>118</v>
      </c>
      <c r="E254" s="7" t="s">
        <v>56</v>
      </c>
      <c r="F254" s="7" t="s">
        <v>82</v>
      </c>
      <c r="G254" s="7" t="s">
        <v>77</v>
      </c>
      <c r="H254" s="7" t="s">
        <v>66</v>
      </c>
      <c r="I254" s="7">
        <v>7</v>
      </c>
      <c r="J254" s="9">
        <v>220000</v>
      </c>
      <c r="K254" s="7">
        <v>5</v>
      </c>
      <c r="L254" s="7" t="s">
        <v>51</v>
      </c>
      <c r="M254" s="7" t="s">
        <v>103</v>
      </c>
    </row>
    <row r="255" spans="1:13" x14ac:dyDescent="0.3">
      <c r="A255" s="10" t="s">
        <v>604</v>
      </c>
      <c r="B255" s="11">
        <v>45316</v>
      </c>
      <c r="C255" s="10" t="s">
        <v>605</v>
      </c>
      <c r="D255" s="10" t="s">
        <v>55</v>
      </c>
      <c r="E255" s="10" t="s">
        <v>49</v>
      </c>
      <c r="F255" s="10" t="s">
        <v>92</v>
      </c>
      <c r="G255" s="10" t="s">
        <v>77</v>
      </c>
      <c r="H255" s="10" t="s">
        <v>66</v>
      </c>
      <c r="I255" s="10">
        <v>9</v>
      </c>
      <c r="J255" s="12">
        <v>450000</v>
      </c>
      <c r="K255" s="10">
        <v>10</v>
      </c>
      <c r="L255" s="10" t="s">
        <v>51</v>
      </c>
      <c r="M255" s="10" t="s">
        <v>168</v>
      </c>
    </row>
    <row r="256" spans="1:13" x14ac:dyDescent="0.3">
      <c r="A256" s="7" t="s">
        <v>606</v>
      </c>
      <c r="B256" s="8">
        <v>45559</v>
      </c>
      <c r="C256" s="7" t="s">
        <v>607</v>
      </c>
      <c r="D256" s="7" t="s">
        <v>109</v>
      </c>
      <c r="E256" s="7" t="s">
        <v>56</v>
      </c>
      <c r="F256" s="7" t="s">
        <v>92</v>
      </c>
      <c r="G256" s="7" t="s">
        <v>77</v>
      </c>
      <c r="H256" s="7" t="s">
        <v>71</v>
      </c>
      <c r="I256" s="7">
        <v>3</v>
      </c>
      <c r="J256" s="9">
        <v>450000</v>
      </c>
      <c r="K256" s="7"/>
      <c r="L256" s="7" t="s">
        <v>51</v>
      </c>
      <c r="M256" s="7" t="s">
        <v>93</v>
      </c>
    </row>
    <row r="257" spans="1:13" x14ac:dyDescent="0.3">
      <c r="A257" s="10" t="s">
        <v>608</v>
      </c>
      <c r="B257" s="11">
        <v>45414</v>
      </c>
      <c r="C257" s="10" t="s">
        <v>609</v>
      </c>
      <c r="D257" s="10" t="s">
        <v>39</v>
      </c>
      <c r="E257" s="10" t="s">
        <v>49</v>
      </c>
      <c r="F257" s="10" t="s">
        <v>57</v>
      </c>
      <c r="G257" s="10" t="s">
        <v>42</v>
      </c>
      <c r="H257" s="10" t="s">
        <v>71</v>
      </c>
      <c r="I257" s="10">
        <v>19</v>
      </c>
      <c r="J257" s="12">
        <v>28000</v>
      </c>
      <c r="K257" s="10">
        <v>0</v>
      </c>
      <c r="L257" s="10" t="s">
        <v>51</v>
      </c>
      <c r="M257" s="10" t="s">
        <v>96</v>
      </c>
    </row>
    <row r="258" spans="1:13" x14ac:dyDescent="0.3">
      <c r="A258" s="7" t="s">
        <v>610</v>
      </c>
      <c r="B258" s="8">
        <v>45328</v>
      </c>
      <c r="C258" s="7" t="s">
        <v>611</v>
      </c>
      <c r="D258" s="7" t="s">
        <v>109</v>
      </c>
      <c r="E258" s="7" t="s">
        <v>49</v>
      </c>
      <c r="F258" s="7" t="s">
        <v>57</v>
      </c>
      <c r="G258" s="7" t="s">
        <v>42</v>
      </c>
      <c r="H258" s="7" t="s">
        <v>43</v>
      </c>
      <c r="I258" s="7">
        <v>13</v>
      </c>
      <c r="J258" s="9">
        <v>28000</v>
      </c>
      <c r="K258" s="7">
        <v>15</v>
      </c>
      <c r="L258" s="7" t="s">
        <v>51</v>
      </c>
      <c r="M258" s="7" t="s">
        <v>58</v>
      </c>
    </row>
    <row r="259" spans="1:13" x14ac:dyDescent="0.3">
      <c r="A259" s="10" t="s">
        <v>612</v>
      </c>
      <c r="B259" s="11">
        <v>45470</v>
      </c>
      <c r="C259" s="10" t="s">
        <v>613</v>
      </c>
      <c r="D259" s="10" t="s">
        <v>154</v>
      </c>
      <c r="E259" s="10" t="s">
        <v>49</v>
      </c>
      <c r="F259" s="10" t="s">
        <v>41</v>
      </c>
      <c r="G259" s="10" t="s">
        <v>42</v>
      </c>
      <c r="H259" s="10" t="s">
        <v>66</v>
      </c>
      <c r="I259" s="10">
        <v>1</v>
      </c>
      <c r="J259" s="12">
        <v>35000</v>
      </c>
      <c r="K259" s="10">
        <v>5</v>
      </c>
      <c r="L259" s="10" t="s">
        <v>131</v>
      </c>
      <c r="M259" s="10" t="s">
        <v>180</v>
      </c>
    </row>
    <row r="260" spans="1:13" x14ac:dyDescent="0.3">
      <c r="A260" s="7" t="s">
        <v>614</v>
      </c>
      <c r="B260" s="8">
        <v>45480</v>
      </c>
      <c r="C260" s="7" t="s">
        <v>615</v>
      </c>
      <c r="D260" s="7" t="s">
        <v>55</v>
      </c>
      <c r="E260" s="7" t="s">
        <v>49</v>
      </c>
      <c r="F260" s="7" t="s">
        <v>50</v>
      </c>
      <c r="G260" s="7" t="s">
        <v>42</v>
      </c>
      <c r="H260" s="7" t="s">
        <v>66</v>
      </c>
      <c r="I260" s="7">
        <v>15</v>
      </c>
      <c r="J260" s="9">
        <v>18000</v>
      </c>
      <c r="K260" s="7">
        <v>0</v>
      </c>
      <c r="L260" s="7" t="s">
        <v>51</v>
      </c>
      <c r="M260" s="7" t="s">
        <v>123</v>
      </c>
    </row>
    <row r="261" spans="1:13" x14ac:dyDescent="0.3">
      <c r="A261" s="10" t="s">
        <v>616</v>
      </c>
      <c r="B261" s="11">
        <v>45419</v>
      </c>
      <c r="C261" s="10" t="s">
        <v>617</v>
      </c>
      <c r="D261" s="10" t="s">
        <v>39</v>
      </c>
      <c r="E261" s="10" t="s">
        <v>40</v>
      </c>
      <c r="F261" s="10" t="s">
        <v>99</v>
      </c>
      <c r="G261" s="10" t="s">
        <v>77</v>
      </c>
      <c r="H261" s="10" t="s">
        <v>71</v>
      </c>
      <c r="I261" s="10">
        <v>15</v>
      </c>
      <c r="J261" s="12">
        <v>95000</v>
      </c>
      <c r="K261" s="10">
        <v>20</v>
      </c>
      <c r="L261" s="10" t="s">
        <v>131</v>
      </c>
      <c r="M261" s="10" t="s">
        <v>100</v>
      </c>
    </row>
    <row r="262" spans="1:13" x14ac:dyDescent="0.3">
      <c r="A262" s="7" t="s">
        <v>618</v>
      </c>
      <c r="B262" s="8">
        <v>45362</v>
      </c>
      <c r="C262" s="7" t="s">
        <v>619</v>
      </c>
      <c r="D262" s="7" t="s">
        <v>118</v>
      </c>
      <c r="E262" s="7" t="s">
        <v>49</v>
      </c>
      <c r="F262" s="7" t="s">
        <v>50</v>
      </c>
      <c r="G262" s="7" t="s">
        <v>42</v>
      </c>
      <c r="H262" s="7" t="s">
        <v>66</v>
      </c>
      <c r="I262" s="7">
        <v>14</v>
      </c>
      <c r="J262" s="9">
        <v>18000</v>
      </c>
      <c r="K262" s="7">
        <v>15</v>
      </c>
      <c r="L262" s="7" t="s">
        <v>86</v>
      </c>
      <c r="M262" s="7" t="s">
        <v>123</v>
      </c>
    </row>
    <row r="263" spans="1:13" x14ac:dyDescent="0.3">
      <c r="A263" s="10" t="s">
        <v>620</v>
      </c>
      <c r="B263" s="11">
        <v>45517</v>
      </c>
      <c r="C263" s="10" t="s">
        <v>621</v>
      </c>
      <c r="D263" s="10" t="s">
        <v>141</v>
      </c>
      <c r="E263" s="10" t="s">
        <v>40</v>
      </c>
      <c r="F263" s="10" t="s">
        <v>92</v>
      </c>
      <c r="G263" s="10" t="s">
        <v>77</v>
      </c>
      <c r="H263" s="10" t="s">
        <v>43</v>
      </c>
      <c r="I263" s="10">
        <v>13</v>
      </c>
      <c r="J263" s="12">
        <v>450000</v>
      </c>
      <c r="K263" s="10">
        <v>15</v>
      </c>
      <c r="L263" s="10" t="s">
        <v>51</v>
      </c>
      <c r="M263" s="10" t="s">
        <v>106</v>
      </c>
    </row>
    <row r="264" spans="1:13" x14ac:dyDescent="0.3">
      <c r="A264" s="7" t="s">
        <v>622</v>
      </c>
      <c r="B264" s="8">
        <v>45330</v>
      </c>
      <c r="C264" s="7" t="s">
        <v>623</v>
      </c>
      <c r="D264" s="7" t="s">
        <v>39</v>
      </c>
      <c r="E264" s="7" t="s">
        <v>70</v>
      </c>
      <c r="F264" s="7" t="s">
        <v>92</v>
      </c>
      <c r="G264" s="7" t="s">
        <v>77</v>
      </c>
      <c r="H264" s="7" t="s">
        <v>43</v>
      </c>
      <c r="I264" s="7">
        <v>17</v>
      </c>
      <c r="J264" s="9">
        <v>450000</v>
      </c>
      <c r="K264" s="7">
        <v>0</v>
      </c>
      <c r="L264" s="7" t="s">
        <v>51</v>
      </c>
      <c r="M264" s="7" t="s">
        <v>106</v>
      </c>
    </row>
    <row r="265" spans="1:13" x14ac:dyDescent="0.3">
      <c r="A265" s="10" t="s">
        <v>624</v>
      </c>
      <c r="B265" s="11">
        <v>45551</v>
      </c>
      <c r="C265" s="10" t="s">
        <v>625</v>
      </c>
      <c r="D265" s="10" t="s">
        <v>65</v>
      </c>
      <c r="E265" s="10" t="s">
        <v>56</v>
      </c>
      <c r="F265" s="10" t="s">
        <v>50</v>
      </c>
      <c r="G265" s="10" t="s">
        <v>42</v>
      </c>
      <c r="H265" s="10" t="s">
        <v>66</v>
      </c>
      <c r="I265" s="10">
        <v>14</v>
      </c>
      <c r="J265" s="12">
        <v>18000</v>
      </c>
      <c r="K265" s="10">
        <v>15</v>
      </c>
      <c r="L265" s="10" t="s">
        <v>86</v>
      </c>
      <c r="M265" s="10" t="s">
        <v>123</v>
      </c>
    </row>
    <row r="266" spans="1:13" x14ac:dyDescent="0.3">
      <c r="A266" s="7" t="s">
        <v>626</v>
      </c>
      <c r="B266" s="8">
        <v>45525</v>
      </c>
      <c r="C266" s="7" t="s">
        <v>627</v>
      </c>
      <c r="D266" s="7" t="s">
        <v>118</v>
      </c>
      <c r="E266" s="7" t="s">
        <v>70</v>
      </c>
      <c r="F266" s="7" t="s">
        <v>50</v>
      </c>
      <c r="G266" s="7" t="s">
        <v>42</v>
      </c>
      <c r="H266" s="7" t="s">
        <v>66</v>
      </c>
      <c r="I266" s="7">
        <v>17</v>
      </c>
      <c r="J266" s="9">
        <v>18000</v>
      </c>
      <c r="K266" s="7">
        <v>0</v>
      </c>
      <c r="L266" s="7" t="s">
        <v>51</v>
      </c>
      <c r="M266" s="7" t="s">
        <v>123</v>
      </c>
    </row>
    <row r="267" spans="1:13" x14ac:dyDescent="0.3">
      <c r="A267" s="10" t="s">
        <v>628</v>
      </c>
      <c r="B267" s="11">
        <v>45649</v>
      </c>
      <c r="C267" s="10" t="s">
        <v>629</v>
      </c>
      <c r="D267" s="10" t="s">
        <v>65</v>
      </c>
      <c r="E267" s="10" t="s">
        <v>40</v>
      </c>
      <c r="F267" s="10" t="s">
        <v>61</v>
      </c>
      <c r="G267" s="10" t="s">
        <v>42</v>
      </c>
      <c r="H267" s="10" t="s">
        <v>66</v>
      </c>
      <c r="I267" s="10">
        <v>7</v>
      </c>
      <c r="J267" s="12">
        <v>22000</v>
      </c>
      <c r="K267" s="10">
        <v>10</v>
      </c>
      <c r="L267" s="10" t="s">
        <v>51</v>
      </c>
      <c r="M267" s="10" t="s">
        <v>87</v>
      </c>
    </row>
    <row r="268" spans="1:13" x14ac:dyDescent="0.3">
      <c r="A268" s="7" t="s">
        <v>630</v>
      </c>
      <c r="B268" s="8">
        <v>45445</v>
      </c>
      <c r="C268" s="7" t="s">
        <v>631</v>
      </c>
      <c r="D268" s="7" t="s">
        <v>39</v>
      </c>
      <c r="E268" s="7" t="s">
        <v>70</v>
      </c>
      <c r="F268" s="7" t="s">
        <v>92</v>
      </c>
      <c r="G268" s="7" t="s">
        <v>77</v>
      </c>
      <c r="H268" s="7" t="s">
        <v>71</v>
      </c>
      <c r="I268" s="7">
        <v>15</v>
      </c>
      <c r="J268" s="9">
        <v>450000</v>
      </c>
      <c r="K268" s="7">
        <v>10</v>
      </c>
      <c r="L268" s="7" t="s">
        <v>51</v>
      </c>
      <c r="M268" s="7" t="s">
        <v>93</v>
      </c>
    </row>
    <row r="269" spans="1:13" x14ac:dyDescent="0.3">
      <c r="A269" s="10" t="s">
        <v>632</v>
      </c>
      <c r="B269" s="11">
        <v>45410</v>
      </c>
      <c r="C269" s="10" t="s">
        <v>633</v>
      </c>
      <c r="D269" s="10" t="s">
        <v>55</v>
      </c>
      <c r="E269" s="10" t="s">
        <v>56</v>
      </c>
      <c r="F269" s="10" t="s">
        <v>92</v>
      </c>
      <c r="G269" s="10" t="s">
        <v>77</v>
      </c>
      <c r="H269" s="10" t="s">
        <v>71</v>
      </c>
      <c r="I269" s="10">
        <v>19</v>
      </c>
      <c r="J269" s="12">
        <v>450000</v>
      </c>
      <c r="K269" s="10">
        <v>20</v>
      </c>
      <c r="L269" s="10" t="s">
        <v>51</v>
      </c>
      <c r="M269" s="10" t="s">
        <v>93</v>
      </c>
    </row>
    <row r="270" spans="1:13" x14ac:dyDescent="0.3">
      <c r="A270" s="7" t="s">
        <v>634</v>
      </c>
      <c r="B270" s="8">
        <v>45357</v>
      </c>
      <c r="C270" s="7" t="s">
        <v>140</v>
      </c>
      <c r="D270" s="7" t="s">
        <v>109</v>
      </c>
      <c r="E270" s="7" t="s">
        <v>49</v>
      </c>
      <c r="F270" s="7" t="s">
        <v>99</v>
      </c>
      <c r="G270" s="7" t="s">
        <v>77</v>
      </c>
      <c r="H270" s="7" t="s">
        <v>71</v>
      </c>
      <c r="I270" s="7">
        <v>10</v>
      </c>
      <c r="J270" s="9">
        <v>95000</v>
      </c>
      <c r="K270" s="7">
        <v>0</v>
      </c>
      <c r="L270" s="7" t="s">
        <v>86</v>
      </c>
      <c r="M270" s="7" t="s">
        <v>100</v>
      </c>
    </row>
    <row r="271" spans="1:13" x14ac:dyDescent="0.3">
      <c r="A271" s="10" t="s">
        <v>635</v>
      </c>
      <c r="B271" s="11">
        <v>45495</v>
      </c>
      <c r="C271" s="10" t="s">
        <v>285</v>
      </c>
      <c r="D271" s="10" t="s">
        <v>48</v>
      </c>
      <c r="E271" s="10" t="s">
        <v>49</v>
      </c>
      <c r="F271" s="10" t="s">
        <v>50</v>
      </c>
      <c r="G271" s="10" t="s">
        <v>42</v>
      </c>
      <c r="H271" s="10" t="s">
        <v>66</v>
      </c>
      <c r="I271" s="10">
        <v>2</v>
      </c>
      <c r="J271" s="12">
        <v>18000</v>
      </c>
      <c r="K271" s="10">
        <v>0</v>
      </c>
      <c r="L271" s="10" t="s">
        <v>44</v>
      </c>
      <c r="M271" s="10" t="s">
        <v>123</v>
      </c>
    </row>
    <row r="272" spans="1:13" x14ac:dyDescent="0.3">
      <c r="A272" s="7" t="s">
        <v>636</v>
      </c>
      <c r="B272" s="8">
        <v>45450</v>
      </c>
      <c r="C272" s="7" t="s">
        <v>637</v>
      </c>
      <c r="D272" s="7" t="s">
        <v>109</v>
      </c>
      <c r="E272" s="7" t="s">
        <v>40</v>
      </c>
      <c r="F272" s="7" t="s">
        <v>99</v>
      </c>
      <c r="G272" s="7" t="s">
        <v>77</v>
      </c>
      <c r="H272" s="7" t="s">
        <v>71</v>
      </c>
      <c r="I272" s="7">
        <v>19</v>
      </c>
      <c r="J272" s="9">
        <v>95000</v>
      </c>
      <c r="K272" s="7">
        <v>15</v>
      </c>
      <c r="L272" s="7" t="s">
        <v>44</v>
      </c>
      <c r="M272" s="7" t="s">
        <v>100</v>
      </c>
    </row>
    <row r="273" spans="1:13" x14ac:dyDescent="0.3">
      <c r="A273" s="10" t="s">
        <v>638</v>
      </c>
      <c r="B273" s="11">
        <v>45462</v>
      </c>
      <c r="C273" s="10" t="s">
        <v>639</v>
      </c>
      <c r="D273" s="10" t="s">
        <v>55</v>
      </c>
      <c r="E273" s="10" t="s">
        <v>49</v>
      </c>
      <c r="F273" s="10" t="s">
        <v>61</v>
      </c>
      <c r="G273" s="10" t="s">
        <v>42</v>
      </c>
      <c r="H273" s="10" t="s">
        <v>71</v>
      </c>
      <c r="I273" s="10">
        <v>18</v>
      </c>
      <c r="J273" s="12">
        <v>22000</v>
      </c>
      <c r="K273" s="10">
        <v>0</v>
      </c>
      <c r="L273" s="10" t="s">
        <v>51</v>
      </c>
      <c r="M273" s="10" t="s">
        <v>115</v>
      </c>
    </row>
    <row r="274" spans="1:13" x14ac:dyDescent="0.3">
      <c r="A274" s="7" t="s">
        <v>640</v>
      </c>
      <c r="B274" s="8">
        <v>45404</v>
      </c>
      <c r="C274" s="7" t="s">
        <v>464</v>
      </c>
      <c r="D274" s="7" t="s">
        <v>65</v>
      </c>
      <c r="E274" s="7" t="s">
        <v>49</v>
      </c>
      <c r="F274" s="7" t="s">
        <v>57</v>
      </c>
      <c r="G274" s="7" t="s">
        <v>42</v>
      </c>
      <c r="H274" s="7" t="s">
        <v>43</v>
      </c>
      <c r="I274" s="7">
        <v>2</v>
      </c>
      <c r="J274" s="9">
        <v>28000</v>
      </c>
      <c r="K274" s="7">
        <v>0</v>
      </c>
      <c r="L274" s="7" t="s">
        <v>86</v>
      </c>
      <c r="M274" s="7" t="s">
        <v>58</v>
      </c>
    </row>
    <row r="275" spans="1:13" x14ac:dyDescent="0.3">
      <c r="A275" s="10" t="s">
        <v>641</v>
      </c>
      <c r="B275" s="11">
        <v>45641</v>
      </c>
      <c r="C275" s="10" t="s">
        <v>642</v>
      </c>
      <c r="D275" s="10" t="s">
        <v>154</v>
      </c>
      <c r="E275" s="10" t="s">
        <v>40</v>
      </c>
      <c r="F275" s="10" t="s">
        <v>92</v>
      </c>
      <c r="G275" s="10" t="s">
        <v>77</v>
      </c>
      <c r="H275" s="10" t="s">
        <v>71</v>
      </c>
      <c r="I275" s="10">
        <v>4</v>
      </c>
      <c r="J275" s="12">
        <v>450000</v>
      </c>
      <c r="K275" s="10">
        <v>5</v>
      </c>
      <c r="L275" s="10" t="s">
        <v>51</v>
      </c>
      <c r="M275" s="10" t="s">
        <v>93</v>
      </c>
    </row>
    <row r="276" spans="1:13" x14ac:dyDescent="0.3">
      <c r="A276" s="7" t="s">
        <v>643</v>
      </c>
      <c r="B276" s="8">
        <v>45367</v>
      </c>
      <c r="C276" s="7" t="s">
        <v>644</v>
      </c>
      <c r="D276" s="7" t="s">
        <v>75</v>
      </c>
      <c r="E276" s="7" t="s">
        <v>40</v>
      </c>
      <c r="F276" s="7" t="s">
        <v>82</v>
      </c>
      <c r="G276" s="7" t="s">
        <v>77</v>
      </c>
      <c r="H276" s="7" t="s">
        <v>130</v>
      </c>
      <c r="I276" s="7">
        <v>4</v>
      </c>
      <c r="J276" s="9">
        <v>220000</v>
      </c>
      <c r="K276" s="7">
        <v>15</v>
      </c>
      <c r="L276" s="7" t="s">
        <v>164</v>
      </c>
      <c r="M276" s="7" t="s">
        <v>132</v>
      </c>
    </row>
    <row r="277" spans="1:13" x14ac:dyDescent="0.3">
      <c r="A277" s="10" t="s">
        <v>645</v>
      </c>
      <c r="B277" s="11">
        <v>45581</v>
      </c>
      <c r="C277" s="10" t="s">
        <v>646</v>
      </c>
      <c r="D277" s="10" t="s">
        <v>81</v>
      </c>
      <c r="E277" s="10" t="s">
        <v>49</v>
      </c>
      <c r="F277" s="10" t="s">
        <v>41</v>
      </c>
      <c r="G277" s="10" t="s">
        <v>42</v>
      </c>
      <c r="H277" s="10" t="s">
        <v>43</v>
      </c>
      <c r="I277" s="10">
        <v>15</v>
      </c>
      <c r="J277" s="12">
        <v>35000</v>
      </c>
      <c r="K277" s="10">
        <v>0</v>
      </c>
      <c r="L277" s="10" t="s">
        <v>44</v>
      </c>
      <c r="M277" s="10" t="s">
        <v>45</v>
      </c>
    </row>
    <row r="278" spans="1:13" x14ac:dyDescent="0.3">
      <c r="A278" s="7" t="s">
        <v>647</v>
      </c>
      <c r="B278" s="8">
        <v>45607</v>
      </c>
      <c r="C278" s="7" t="s">
        <v>648</v>
      </c>
      <c r="D278" s="7" t="s">
        <v>48</v>
      </c>
      <c r="E278" s="7" t="s">
        <v>49</v>
      </c>
      <c r="F278" s="7" t="s">
        <v>92</v>
      </c>
      <c r="G278" s="7" t="s">
        <v>77</v>
      </c>
      <c r="H278" s="7" t="s">
        <v>71</v>
      </c>
      <c r="I278" s="7">
        <v>3</v>
      </c>
      <c r="J278" s="9">
        <v>450000</v>
      </c>
      <c r="K278" s="7">
        <v>10</v>
      </c>
      <c r="L278" s="7" t="s">
        <v>86</v>
      </c>
      <c r="M278" s="7" t="s">
        <v>93</v>
      </c>
    </row>
    <row r="279" spans="1:13" x14ac:dyDescent="0.3">
      <c r="A279" s="10" t="s">
        <v>649</v>
      </c>
      <c r="B279" s="11">
        <v>45370</v>
      </c>
      <c r="C279" s="10" t="s">
        <v>650</v>
      </c>
      <c r="D279" s="10" t="s">
        <v>81</v>
      </c>
      <c r="E279" s="10" t="s">
        <v>40</v>
      </c>
      <c r="F279" s="10" t="s">
        <v>92</v>
      </c>
      <c r="G279" s="10" t="s">
        <v>77</v>
      </c>
      <c r="H279" s="10" t="s">
        <v>43</v>
      </c>
      <c r="I279" s="10">
        <v>6</v>
      </c>
      <c r="J279" s="12">
        <v>450000</v>
      </c>
      <c r="K279" s="10">
        <v>20</v>
      </c>
      <c r="L279" s="10" t="s">
        <v>51</v>
      </c>
      <c r="M279" s="10" t="s">
        <v>106</v>
      </c>
    </row>
    <row r="280" spans="1:13" x14ac:dyDescent="0.3">
      <c r="A280" s="7" t="s">
        <v>651</v>
      </c>
      <c r="B280" s="8">
        <v>45624</v>
      </c>
      <c r="C280" s="7" t="s">
        <v>652</v>
      </c>
      <c r="D280" s="7" t="s">
        <v>109</v>
      </c>
      <c r="E280" s="7" t="s">
        <v>49</v>
      </c>
      <c r="F280" s="7" t="s">
        <v>76</v>
      </c>
      <c r="G280" s="7" t="s">
        <v>77</v>
      </c>
      <c r="H280" s="7" t="s">
        <v>66</v>
      </c>
      <c r="I280" s="7">
        <v>14</v>
      </c>
      <c r="J280" s="9">
        <v>180000</v>
      </c>
      <c r="K280" s="7">
        <v>20</v>
      </c>
      <c r="L280" s="7" t="s">
        <v>86</v>
      </c>
      <c r="M280" s="7" t="s">
        <v>78</v>
      </c>
    </row>
    <row r="281" spans="1:13" x14ac:dyDescent="0.3">
      <c r="A281" s="10" t="s">
        <v>653</v>
      </c>
      <c r="B281" s="11">
        <v>45391</v>
      </c>
      <c r="C281" s="10" t="s">
        <v>654</v>
      </c>
      <c r="D281" s="10" t="s">
        <v>75</v>
      </c>
      <c r="E281" s="10" t="s">
        <v>40</v>
      </c>
      <c r="F281" s="10" t="s">
        <v>92</v>
      </c>
      <c r="G281" s="10" t="s">
        <v>77</v>
      </c>
      <c r="H281" s="10" t="s">
        <v>43</v>
      </c>
      <c r="I281" s="10">
        <v>3</v>
      </c>
      <c r="J281" s="12">
        <v>450000</v>
      </c>
      <c r="K281" s="10">
        <v>15</v>
      </c>
      <c r="L281" s="10" t="s">
        <v>51</v>
      </c>
      <c r="M281" s="10" t="s">
        <v>106</v>
      </c>
    </row>
    <row r="282" spans="1:13" x14ac:dyDescent="0.3">
      <c r="A282" s="7" t="s">
        <v>655</v>
      </c>
      <c r="B282" s="8">
        <v>45526</v>
      </c>
      <c r="C282" s="7" t="s">
        <v>656</v>
      </c>
      <c r="D282" s="7" t="s">
        <v>75</v>
      </c>
      <c r="E282" s="7" t="s">
        <v>40</v>
      </c>
      <c r="F282" s="7" t="s">
        <v>61</v>
      </c>
      <c r="G282" s="7" t="s">
        <v>42</v>
      </c>
      <c r="H282" s="7" t="s">
        <v>71</v>
      </c>
      <c r="I282" s="7">
        <v>5</v>
      </c>
      <c r="J282" s="9">
        <v>22000</v>
      </c>
      <c r="K282" s="7">
        <v>20</v>
      </c>
      <c r="L282" s="7" t="s">
        <v>51</v>
      </c>
      <c r="M282" s="7" t="s">
        <v>115</v>
      </c>
    </row>
    <row r="283" spans="1:13" x14ac:dyDescent="0.3">
      <c r="A283" s="10" t="s">
        <v>657</v>
      </c>
      <c r="B283" s="11">
        <v>45475</v>
      </c>
      <c r="C283" s="10" t="s">
        <v>658</v>
      </c>
      <c r="D283" s="10" t="s">
        <v>39</v>
      </c>
      <c r="E283" s="10" t="s">
        <v>40</v>
      </c>
      <c r="F283" s="10" t="s">
        <v>659</v>
      </c>
      <c r="G283" s="10" t="s">
        <v>77</v>
      </c>
      <c r="H283" s="10" t="s">
        <v>163</v>
      </c>
      <c r="I283" s="10">
        <v>5</v>
      </c>
      <c r="J283" s="12">
        <v>450000</v>
      </c>
      <c r="K283" s="10">
        <v>20</v>
      </c>
      <c r="L283" s="10" t="s">
        <v>164</v>
      </c>
      <c r="M283" s="10" t="s">
        <v>660</v>
      </c>
    </row>
    <row r="284" spans="1:13" x14ac:dyDescent="0.3">
      <c r="A284" s="7" t="s">
        <v>661</v>
      </c>
      <c r="B284" s="8">
        <v>45331</v>
      </c>
      <c r="C284" s="7" t="s">
        <v>662</v>
      </c>
      <c r="D284" s="7" t="s">
        <v>118</v>
      </c>
      <c r="E284" s="7" t="s">
        <v>70</v>
      </c>
      <c r="F284" s="7" t="s">
        <v>82</v>
      </c>
      <c r="G284" s="7" t="s">
        <v>77</v>
      </c>
      <c r="H284" s="7" t="s">
        <v>43</v>
      </c>
      <c r="I284" s="7">
        <v>7</v>
      </c>
      <c r="J284" s="9">
        <v>220000</v>
      </c>
      <c r="K284" s="7">
        <v>5</v>
      </c>
      <c r="L284" s="7" t="s">
        <v>86</v>
      </c>
      <c r="M284" s="7" t="s">
        <v>204</v>
      </c>
    </row>
    <row r="285" spans="1:13" x14ac:dyDescent="0.3">
      <c r="A285" s="10" t="s">
        <v>663</v>
      </c>
      <c r="B285" s="11">
        <v>45548</v>
      </c>
      <c r="C285" s="10" t="s">
        <v>664</v>
      </c>
      <c r="D285" s="10" t="s">
        <v>109</v>
      </c>
      <c r="E285" s="10" t="s">
        <v>56</v>
      </c>
      <c r="F285" s="10" t="s">
        <v>92</v>
      </c>
      <c r="G285" s="10" t="s">
        <v>77</v>
      </c>
      <c r="H285" s="10" t="s">
        <v>71</v>
      </c>
      <c r="I285" s="10">
        <v>3</v>
      </c>
      <c r="J285" s="12">
        <v>450000</v>
      </c>
      <c r="K285" s="10">
        <v>15</v>
      </c>
      <c r="L285" s="10" t="s">
        <v>131</v>
      </c>
      <c r="M285" s="10" t="s">
        <v>93</v>
      </c>
    </row>
    <row r="286" spans="1:13" x14ac:dyDescent="0.3">
      <c r="A286" s="7" t="s">
        <v>665</v>
      </c>
      <c r="B286" s="8">
        <v>45359</v>
      </c>
      <c r="C286" s="7" t="s">
        <v>666</v>
      </c>
      <c r="D286" s="7" t="s">
        <v>65</v>
      </c>
      <c r="E286" s="7" t="s">
        <v>40</v>
      </c>
      <c r="F286" s="7" t="s">
        <v>76</v>
      </c>
      <c r="G286" s="7" t="s">
        <v>77</v>
      </c>
      <c r="H286" s="7" t="s">
        <v>43</v>
      </c>
      <c r="I286" s="7">
        <v>4</v>
      </c>
      <c r="J286" s="9">
        <v>180000</v>
      </c>
      <c r="K286" s="7">
        <v>0</v>
      </c>
      <c r="L286" s="7" t="s">
        <v>44</v>
      </c>
      <c r="M286" s="7" t="s">
        <v>221</v>
      </c>
    </row>
    <row r="287" spans="1:13" x14ac:dyDescent="0.3">
      <c r="A287" s="10" t="s">
        <v>667</v>
      </c>
      <c r="B287" s="11">
        <v>45505</v>
      </c>
      <c r="C287" s="10" t="s">
        <v>668</v>
      </c>
      <c r="D287" s="10" t="s">
        <v>154</v>
      </c>
      <c r="E287" s="10" t="s">
        <v>49</v>
      </c>
      <c r="F287" s="10" t="s">
        <v>41</v>
      </c>
      <c r="G287" s="10" t="s">
        <v>42</v>
      </c>
      <c r="H287" s="10" t="s">
        <v>66</v>
      </c>
      <c r="I287" s="10">
        <v>17</v>
      </c>
      <c r="J287" s="12">
        <v>35000</v>
      </c>
      <c r="K287" s="10">
        <v>15</v>
      </c>
      <c r="L287" s="10" t="s">
        <v>44</v>
      </c>
      <c r="M287" s="10" t="s">
        <v>180</v>
      </c>
    </row>
    <row r="288" spans="1:13" x14ac:dyDescent="0.3">
      <c r="A288" s="7" t="s">
        <v>669</v>
      </c>
      <c r="B288" s="8">
        <v>45622</v>
      </c>
      <c r="C288" s="7" t="s">
        <v>670</v>
      </c>
      <c r="D288" s="7" t="s">
        <v>118</v>
      </c>
      <c r="E288" s="7" t="s">
        <v>56</v>
      </c>
      <c r="F288" s="7" t="s">
        <v>76</v>
      </c>
      <c r="G288" s="7" t="s">
        <v>77</v>
      </c>
      <c r="H288" s="7" t="s">
        <v>71</v>
      </c>
      <c r="I288" s="7">
        <v>18</v>
      </c>
      <c r="J288" s="9">
        <v>180000</v>
      </c>
      <c r="K288" s="7">
        <v>5</v>
      </c>
      <c r="L288" s="7" t="s">
        <v>51</v>
      </c>
      <c r="M288" s="7" t="s">
        <v>142</v>
      </c>
    </row>
    <row r="289" spans="1:13" x14ac:dyDescent="0.3">
      <c r="A289" s="10" t="s">
        <v>465</v>
      </c>
      <c r="B289" s="11">
        <v>45646</v>
      </c>
      <c r="C289" s="10" t="s">
        <v>466</v>
      </c>
      <c r="D289" s="10" t="s">
        <v>118</v>
      </c>
      <c r="E289" s="10"/>
      <c r="F289" s="10" t="s">
        <v>76</v>
      </c>
      <c r="G289" s="10" t="s">
        <v>77</v>
      </c>
      <c r="H289" s="10" t="s">
        <v>66</v>
      </c>
      <c r="I289" s="10">
        <v>14</v>
      </c>
      <c r="J289" s="12">
        <v>180000</v>
      </c>
      <c r="K289" s="10">
        <v>5</v>
      </c>
      <c r="L289" s="10" t="s">
        <v>51</v>
      </c>
      <c r="M289" s="10" t="s">
        <v>78</v>
      </c>
    </row>
    <row r="290" spans="1:13" x14ac:dyDescent="0.3">
      <c r="A290" s="7" t="s">
        <v>671</v>
      </c>
      <c r="B290" s="8">
        <v>45585</v>
      </c>
      <c r="C290" s="7" t="s">
        <v>672</v>
      </c>
      <c r="D290" s="7" t="s">
        <v>39</v>
      </c>
      <c r="E290" s="7" t="s">
        <v>70</v>
      </c>
      <c r="F290" s="7" t="s">
        <v>82</v>
      </c>
      <c r="G290" s="7" t="s">
        <v>77</v>
      </c>
      <c r="H290" s="7" t="s">
        <v>71</v>
      </c>
      <c r="I290" s="7">
        <v>12</v>
      </c>
      <c r="J290" s="9">
        <v>220000</v>
      </c>
      <c r="K290" s="7">
        <v>0</v>
      </c>
      <c r="L290" s="7" t="s">
        <v>131</v>
      </c>
      <c r="M290" s="7" t="s">
        <v>83</v>
      </c>
    </row>
    <row r="291" spans="1:13" x14ac:dyDescent="0.3">
      <c r="A291" s="10" t="s">
        <v>673</v>
      </c>
      <c r="B291" s="11">
        <v>45651</v>
      </c>
      <c r="C291" s="10" t="s">
        <v>674</v>
      </c>
      <c r="D291" s="10" t="s">
        <v>154</v>
      </c>
      <c r="E291" s="10" t="s">
        <v>70</v>
      </c>
      <c r="F291" s="10" t="s">
        <v>76</v>
      </c>
      <c r="G291" s="10" t="s">
        <v>77</v>
      </c>
      <c r="H291" s="10" t="s">
        <v>71</v>
      </c>
      <c r="I291" s="10">
        <v>5</v>
      </c>
      <c r="J291" s="12">
        <v>180000</v>
      </c>
      <c r="K291" s="10">
        <v>0</v>
      </c>
      <c r="L291" s="10" t="s">
        <v>51</v>
      </c>
      <c r="M291" s="10" t="s">
        <v>142</v>
      </c>
    </row>
    <row r="292" spans="1:13" x14ac:dyDescent="0.3">
      <c r="A292" s="7" t="s">
        <v>675</v>
      </c>
      <c r="B292" s="8">
        <v>45547</v>
      </c>
      <c r="C292" s="7" t="s">
        <v>676</v>
      </c>
      <c r="D292" s="7" t="s">
        <v>75</v>
      </c>
      <c r="E292" s="7" t="s">
        <v>70</v>
      </c>
      <c r="F292" s="7" t="s">
        <v>61</v>
      </c>
      <c r="G292" s="7" t="s">
        <v>42</v>
      </c>
      <c r="H292" s="7" t="s">
        <v>71</v>
      </c>
      <c r="I292" s="7">
        <v>4</v>
      </c>
      <c r="J292" s="9">
        <v>22000</v>
      </c>
      <c r="K292" s="7">
        <v>0</v>
      </c>
      <c r="L292" s="7" t="s">
        <v>44</v>
      </c>
      <c r="M292" s="7" t="s">
        <v>115</v>
      </c>
    </row>
    <row r="293" spans="1:13" x14ac:dyDescent="0.3">
      <c r="A293" s="10" t="s">
        <v>677</v>
      </c>
      <c r="B293" s="11">
        <v>45368</v>
      </c>
      <c r="C293" s="10" t="s">
        <v>678</v>
      </c>
      <c r="D293" s="10" t="s">
        <v>75</v>
      </c>
      <c r="E293" s="10" t="s">
        <v>56</v>
      </c>
      <c r="F293" s="10" t="s">
        <v>57</v>
      </c>
      <c r="G293" s="10" t="s">
        <v>42</v>
      </c>
      <c r="H293" s="10" t="s">
        <v>66</v>
      </c>
      <c r="I293" s="10">
        <v>2</v>
      </c>
      <c r="J293" s="12">
        <v>28000</v>
      </c>
      <c r="K293" s="10">
        <v>15</v>
      </c>
      <c r="L293" s="10" t="s">
        <v>51</v>
      </c>
      <c r="M293" s="10" t="s">
        <v>67</v>
      </c>
    </row>
    <row r="294" spans="1:13" x14ac:dyDescent="0.3">
      <c r="A294" s="7" t="s">
        <v>679</v>
      </c>
      <c r="B294" s="8">
        <v>45300</v>
      </c>
      <c r="C294" s="7" t="s">
        <v>680</v>
      </c>
      <c r="D294" s="7" t="s">
        <v>154</v>
      </c>
      <c r="E294" s="7" t="s">
        <v>40</v>
      </c>
      <c r="F294" s="7" t="s">
        <v>76</v>
      </c>
      <c r="G294" s="7" t="s">
        <v>77</v>
      </c>
      <c r="H294" s="7" t="s">
        <v>71</v>
      </c>
      <c r="I294" s="7">
        <v>19</v>
      </c>
      <c r="J294" s="9">
        <v>180000</v>
      </c>
      <c r="K294" s="7">
        <v>0</v>
      </c>
      <c r="L294" s="7" t="s">
        <v>51</v>
      </c>
      <c r="M294" s="7" t="s">
        <v>142</v>
      </c>
    </row>
    <row r="295" spans="1:13" x14ac:dyDescent="0.3">
      <c r="A295" s="10" t="s">
        <v>681</v>
      </c>
      <c r="B295" s="11">
        <v>45450</v>
      </c>
      <c r="C295" s="10" t="s">
        <v>448</v>
      </c>
      <c r="D295" s="10" t="s">
        <v>154</v>
      </c>
      <c r="E295" s="10" t="s">
        <v>49</v>
      </c>
      <c r="F295" s="10" t="s">
        <v>82</v>
      </c>
      <c r="G295" s="10" t="s">
        <v>77</v>
      </c>
      <c r="H295" s="10" t="s">
        <v>71</v>
      </c>
      <c r="I295" s="10">
        <v>2</v>
      </c>
      <c r="J295" s="12">
        <v>220000</v>
      </c>
      <c r="K295" s="10">
        <v>15</v>
      </c>
      <c r="L295" s="10" t="s">
        <v>131</v>
      </c>
      <c r="M295" s="10" t="s">
        <v>83</v>
      </c>
    </row>
    <row r="296" spans="1:13" x14ac:dyDescent="0.3">
      <c r="A296" s="7" t="s">
        <v>682</v>
      </c>
      <c r="B296" s="8">
        <v>45540</v>
      </c>
      <c r="C296" s="7" t="s">
        <v>683</v>
      </c>
      <c r="D296" s="7" t="s">
        <v>39</v>
      </c>
      <c r="E296" s="7" t="s">
        <v>237</v>
      </c>
      <c r="F296" s="7" t="s">
        <v>50</v>
      </c>
      <c r="G296" s="7" t="s">
        <v>42</v>
      </c>
      <c r="H296" s="7" t="s">
        <v>238</v>
      </c>
      <c r="I296" s="7">
        <v>20</v>
      </c>
      <c r="J296" s="9">
        <v>18000</v>
      </c>
      <c r="K296" s="7">
        <v>5</v>
      </c>
      <c r="L296" s="7" t="s">
        <v>86</v>
      </c>
      <c r="M296" s="7" t="s">
        <v>684</v>
      </c>
    </row>
    <row r="297" spans="1:13" x14ac:dyDescent="0.3">
      <c r="A297" s="10" t="s">
        <v>685</v>
      </c>
      <c r="B297" s="11">
        <v>45584</v>
      </c>
      <c r="C297" s="10" t="s">
        <v>686</v>
      </c>
      <c r="D297" s="10" t="s">
        <v>141</v>
      </c>
      <c r="E297" s="10" t="s">
        <v>49</v>
      </c>
      <c r="F297" s="10" t="s">
        <v>50</v>
      </c>
      <c r="G297" s="10" t="s">
        <v>42</v>
      </c>
      <c r="H297" s="10" t="s">
        <v>71</v>
      </c>
      <c r="I297" s="10">
        <v>13</v>
      </c>
      <c r="J297" s="12">
        <v>18000</v>
      </c>
      <c r="K297" s="10">
        <v>0</v>
      </c>
      <c r="L297" s="10" t="s">
        <v>51</v>
      </c>
      <c r="M297" s="10" t="s">
        <v>72</v>
      </c>
    </row>
    <row r="298" spans="1:13" x14ac:dyDescent="0.3">
      <c r="A298" s="7" t="s">
        <v>687</v>
      </c>
      <c r="B298" s="8">
        <v>45579</v>
      </c>
      <c r="C298" s="7" t="s">
        <v>473</v>
      </c>
      <c r="D298" s="7" t="s">
        <v>118</v>
      </c>
      <c r="E298" s="7" t="s">
        <v>56</v>
      </c>
      <c r="F298" s="7" t="s">
        <v>41</v>
      </c>
      <c r="G298" s="7" t="s">
        <v>42</v>
      </c>
      <c r="H298" s="7" t="s">
        <v>71</v>
      </c>
      <c r="I298" s="7">
        <v>10</v>
      </c>
      <c r="J298" s="9">
        <v>35000</v>
      </c>
      <c r="K298" s="7">
        <v>20</v>
      </c>
      <c r="L298" s="7" t="s">
        <v>51</v>
      </c>
      <c r="M298" s="7" t="s">
        <v>344</v>
      </c>
    </row>
    <row r="299" spans="1:13" x14ac:dyDescent="0.3">
      <c r="A299" s="10" t="s">
        <v>688</v>
      </c>
      <c r="B299" s="11">
        <v>45531</v>
      </c>
      <c r="C299" s="10" t="s">
        <v>689</v>
      </c>
      <c r="D299" s="10" t="s">
        <v>39</v>
      </c>
      <c r="E299" s="10" t="s">
        <v>40</v>
      </c>
      <c r="F299" s="10" t="s">
        <v>92</v>
      </c>
      <c r="G299" s="10" t="s">
        <v>77</v>
      </c>
      <c r="H299" s="10" t="s">
        <v>66</v>
      </c>
      <c r="I299" s="10">
        <v>19</v>
      </c>
      <c r="J299" s="12">
        <v>450000</v>
      </c>
      <c r="K299" s="10">
        <v>0</v>
      </c>
      <c r="L299" s="10" t="s">
        <v>51</v>
      </c>
      <c r="M299" s="10" t="s">
        <v>168</v>
      </c>
    </row>
    <row r="300" spans="1:13" x14ac:dyDescent="0.3">
      <c r="A300" s="7" t="s">
        <v>690</v>
      </c>
      <c r="B300" s="8">
        <v>45299</v>
      </c>
      <c r="C300" s="7" t="s">
        <v>691</v>
      </c>
      <c r="D300" s="7" t="s">
        <v>48</v>
      </c>
      <c r="E300" s="7" t="s">
        <v>40</v>
      </c>
      <c r="F300" s="7" t="s">
        <v>92</v>
      </c>
      <c r="G300" s="7" t="s">
        <v>77</v>
      </c>
      <c r="H300" s="7" t="s">
        <v>71</v>
      </c>
      <c r="I300" s="7">
        <v>4</v>
      </c>
      <c r="J300" s="9">
        <v>450000</v>
      </c>
      <c r="K300" s="7">
        <v>15</v>
      </c>
      <c r="L300" s="7" t="s">
        <v>51</v>
      </c>
      <c r="M300" s="7" t="s">
        <v>93</v>
      </c>
    </row>
    <row r="301" spans="1:13" x14ac:dyDescent="0.3">
      <c r="A301" s="10" t="s">
        <v>692</v>
      </c>
      <c r="B301" s="11">
        <v>45319</v>
      </c>
      <c r="C301" s="10" t="s">
        <v>693</v>
      </c>
      <c r="D301" s="10" t="s">
        <v>81</v>
      </c>
      <c r="E301" s="10" t="s">
        <v>49</v>
      </c>
      <c r="F301" s="10" t="s">
        <v>50</v>
      </c>
      <c r="G301" s="10" t="s">
        <v>42</v>
      </c>
      <c r="H301" s="10" t="s">
        <v>66</v>
      </c>
      <c r="I301" s="10">
        <v>12</v>
      </c>
      <c r="J301" s="12">
        <v>18000</v>
      </c>
      <c r="K301" s="10">
        <v>20</v>
      </c>
      <c r="L301" s="10" t="s">
        <v>131</v>
      </c>
      <c r="M301" s="10" t="s">
        <v>123</v>
      </c>
    </row>
    <row r="302" spans="1:13" x14ac:dyDescent="0.3">
      <c r="A302" s="7" t="s">
        <v>694</v>
      </c>
      <c r="B302" s="8">
        <v>45633</v>
      </c>
      <c r="C302" s="7" t="s">
        <v>695</v>
      </c>
      <c r="D302" s="7" t="s">
        <v>118</v>
      </c>
      <c r="E302" s="7" t="s">
        <v>49</v>
      </c>
      <c r="F302" s="7" t="s">
        <v>82</v>
      </c>
      <c r="G302" s="7" t="s">
        <v>77</v>
      </c>
      <c r="H302" s="7" t="s">
        <v>71</v>
      </c>
      <c r="I302" s="7">
        <v>15</v>
      </c>
      <c r="J302" s="9">
        <v>220000</v>
      </c>
      <c r="K302" s="7">
        <v>0</v>
      </c>
      <c r="L302" s="7" t="s">
        <v>51</v>
      </c>
      <c r="M302" s="7" t="s">
        <v>83</v>
      </c>
    </row>
    <row r="303" spans="1:13" x14ac:dyDescent="0.3">
      <c r="A303" s="10" t="s">
        <v>696</v>
      </c>
      <c r="B303" s="11">
        <v>45588</v>
      </c>
      <c r="C303" s="10" t="s">
        <v>697</v>
      </c>
      <c r="D303" s="10" t="s">
        <v>154</v>
      </c>
      <c r="E303" s="10" t="s">
        <v>40</v>
      </c>
      <c r="F303" s="10" t="s">
        <v>99</v>
      </c>
      <c r="G303" s="10" t="s">
        <v>77</v>
      </c>
      <c r="H303" s="10" t="s">
        <v>71</v>
      </c>
      <c r="I303" s="10">
        <v>10</v>
      </c>
      <c r="J303" s="12">
        <v>95000</v>
      </c>
      <c r="K303" s="10">
        <v>0</v>
      </c>
      <c r="L303" s="10" t="s">
        <v>51</v>
      </c>
      <c r="M303" s="10" t="s">
        <v>100</v>
      </c>
    </row>
    <row r="304" spans="1:13" x14ac:dyDescent="0.3">
      <c r="A304" s="7" t="s">
        <v>698</v>
      </c>
      <c r="B304" s="8">
        <v>45336</v>
      </c>
      <c r="C304" s="7" t="s">
        <v>699</v>
      </c>
      <c r="D304" s="7" t="s">
        <v>39</v>
      </c>
      <c r="E304" s="7" t="s">
        <v>49</v>
      </c>
      <c r="F304" s="7" t="s">
        <v>92</v>
      </c>
      <c r="G304" s="7" t="s">
        <v>77</v>
      </c>
      <c r="H304" s="7" t="s">
        <v>71</v>
      </c>
      <c r="I304" s="7">
        <v>2</v>
      </c>
      <c r="J304" s="9">
        <v>450000</v>
      </c>
      <c r="K304" s="7">
        <v>15</v>
      </c>
      <c r="L304" s="7" t="s">
        <v>51</v>
      </c>
      <c r="M304" s="7" t="s">
        <v>93</v>
      </c>
    </row>
    <row r="305" spans="1:13" x14ac:dyDescent="0.3">
      <c r="A305" s="10" t="s">
        <v>700</v>
      </c>
      <c r="B305" s="11">
        <v>45561</v>
      </c>
      <c r="C305" s="10" t="s">
        <v>701</v>
      </c>
      <c r="D305" s="10" t="s">
        <v>81</v>
      </c>
      <c r="E305" s="10" t="s">
        <v>49</v>
      </c>
      <c r="F305" s="10" t="s">
        <v>50</v>
      </c>
      <c r="G305" s="10" t="s">
        <v>42</v>
      </c>
      <c r="H305" s="10" t="s">
        <v>71</v>
      </c>
      <c r="I305" s="10">
        <v>17</v>
      </c>
      <c r="J305" s="12">
        <v>18000</v>
      </c>
      <c r="K305" s="10">
        <v>10</v>
      </c>
      <c r="L305" s="10" t="s">
        <v>51</v>
      </c>
      <c r="M305" s="10" t="s">
        <v>72</v>
      </c>
    </row>
    <row r="306" spans="1:13" x14ac:dyDescent="0.3">
      <c r="A306" s="7" t="s">
        <v>702</v>
      </c>
      <c r="B306" s="8">
        <v>45497</v>
      </c>
      <c r="C306" s="7" t="s">
        <v>703</v>
      </c>
      <c r="D306" s="7" t="s">
        <v>55</v>
      </c>
      <c r="E306" s="7" t="s">
        <v>49</v>
      </c>
      <c r="F306" s="7" t="s">
        <v>76</v>
      </c>
      <c r="G306" s="7" t="s">
        <v>77</v>
      </c>
      <c r="H306" s="7" t="s">
        <v>71</v>
      </c>
      <c r="I306" s="7">
        <v>11</v>
      </c>
      <c r="J306" s="9">
        <v>180000</v>
      </c>
      <c r="K306" s="7"/>
      <c r="L306" s="7" t="s">
        <v>44</v>
      </c>
      <c r="M306" s="7" t="s">
        <v>142</v>
      </c>
    </row>
    <row r="307" spans="1:13" x14ac:dyDescent="0.3">
      <c r="A307" s="10" t="s">
        <v>704</v>
      </c>
      <c r="B307" s="11">
        <v>45570</v>
      </c>
      <c r="C307" s="10" t="s">
        <v>705</v>
      </c>
      <c r="D307" s="10" t="s">
        <v>118</v>
      </c>
      <c r="E307" s="10" t="s">
        <v>40</v>
      </c>
      <c r="F307" s="10" t="s">
        <v>61</v>
      </c>
      <c r="G307" s="10" t="s">
        <v>42</v>
      </c>
      <c r="H307" s="10" t="s">
        <v>66</v>
      </c>
      <c r="I307" s="10">
        <v>11</v>
      </c>
      <c r="J307" s="12">
        <v>22000</v>
      </c>
      <c r="K307" s="10">
        <v>20</v>
      </c>
      <c r="L307" s="10" t="s">
        <v>51</v>
      </c>
      <c r="M307" s="10" t="s">
        <v>87</v>
      </c>
    </row>
    <row r="308" spans="1:13" x14ac:dyDescent="0.3">
      <c r="A308" s="7" t="s">
        <v>706</v>
      </c>
      <c r="B308" s="8">
        <v>45501</v>
      </c>
      <c r="C308" s="7" t="s">
        <v>707</v>
      </c>
      <c r="D308" s="7" t="s">
        <v>75</v>
      </c>
      <c r="E308" s="7" t="s">
        <v>40</v>
      </c>
      <c r="F308" s="7" t="s">
        <v>92</v>
      </c>
      <c r="G308" s="7" t="s">
        <v>77</v>
      </c>
      <c r="H308" s="7" t="s">
        <v>66</v>
      </c>
      <c r="I308" s="7">
        <v>9</v>
      </c>
      <c r="J308" s="9">
        <v>450000</v>
      </c>
      <c r="K308" s="7">
        <v>5</v>
      </c>
      <c r="L308" s="7" t="s">
        <v>131</v>
      </c>
      <c r="M308" s="7" t="s">
        <v>168</v>
      </c>
    </row>
    <row r="309" spans="1:13" x14ac:dyDescent="0.3">
      <c r="A309" s="10" t="s">
        <v>708</v>
      </c>
      <c r="B309" s="11">
        <v>45618</v>
      </c>
      <c r="C309" s="10" t="s">
        <v>709</v>
      </c>
      <c r="D309" s="10" t="s">
        <v>48</v>
      </c>
      <c r="E309" s="10" t="s">
        <v>56</v>
      </c>
      <c r="F309" s="10" t="s">
        <v>57</v>
      </c>
      <c r="G309" s="10" t="s">
        <v>42</v>
      </c>
      <c r="H309" s="10" t="s">
        <v>71</v>
      </c>
      <c r="I309" s="10">
        <v>13</v>
      </c>
      <c r="J309" s="12">
        <v>28000</v>
      </c>
      <c r="K309" s="10">
        <v>0</v>
      </c>
      <c r="L309" s="10" t="s">
        <v>51</v>
      </c>
      <c r="M309" s="10" t="s">
        <v>96</v>
      </c>
    </row>
    <row r="310" spans="1:13" x14ac:dyDescent="0.3">
      <c r="A310" s="7" t="s">
        <v>710</v>
      </c>
      <c r="B310" s="8">
        <v>45425</v>
      </c>
      <c r="C310" s="7" t="s">
        <v>711</v>
      </c>
      <c r="D310" s="7" t="s">
        <v>118</v>
      </c>
      <c r="E310" s="7" t="s">
        <v>49</v>
      </c>
      <c r="F310" s="7" t="s">
        <v>50</v>
      </c>
      <c r="G310" s="7" t="s">
        <v>42</v>
      </c>
      <c r="H310" s="7" t="s">
        <v>66</v>
      </c>
      <c r="I310" s="7">
        <v>12</v>
      </c>
      <c r="J310" s="9">
        <v>18000</v>
      </c>
      <c r="K310" s="7">
        <v>0</v>
      </c>
      <c r="L310" s="7" t="s">
        <v>51</v>
      </c>
      <c r="M310" s="7" t="s">
        <v>123</v>
      </c>
    </row>
    <row r="311" spans="1:13" x14ac:dyDescent="0.3">
      <c r="A311" s="10" t="s">
        <v>712</v>
      </c>
      <c r="B311" s="11">
        <v>45542</v>
      </c>
      <c r="C311" s="10" t="s">
        <v>713</v>
      </c>
      <c r="D311" s="10" t="s">
        <v>55</v>
      </c>
      <c r="E311" s="10" t="s">
        <v>40</v>
      </c>
      <c r="F311" s="10" t="s">
        <v>92</v>
      </c>
      <c r="G311" s="10" t="s">
        <v>77</v>
      </c>
      <c r="H311" s="10" t="s">
        <v>43</v>
      </c>
      <c r="I311" s="10">
        <v>17</v>
      </c>
      <c r="J311" s="12">
        <v>450000</v>
      </c>
      <c r="K311" s="10">
        <v>10</v>
      </c>
      <c r="L311" s="10" t="s">
        <v>44</v>
      </c>
      <c r="M311" s="10" t="s">
        <v>106</v>
      </c>
    </row>
    <row r="312" spans="1:13" x14ac:dyDescent="0.3">
      <c r="A312" s="7" t="s">
        <v>714</v>
      </c>
      <c r="B312" s="8">
        <v>45572</v>
      </c>
      <c r="C312" s="7" t="s">
        <v>715</v>
      </c>
      <c r="D312" s="7" t="s">
        <v>141</v>
      </c>
      <c r="E312" s="7" t="s">
        <v>49</v>
      </c>
      <c r="F312" s="7" t="s">
        <v>92</v>
      </c>
      <c r="G312" s="7" t="s">
        <v>77</v>
      </c>
      <c r="H312" s="7" t="s">
        <v>66</v>
      </c>
      <c r="I312" s="7">
        <v>9</v>
      </c>
      <c r="J312" s="9">
        <v>450000</v>
      </c>
      <c r="K312" s="7">
        <v>0</v>
      </c>
      <c r="L312" s="7" t="s">
        <v>51</v>
      </c>
      <c r="M312" s="7" t="s">
        <v>168</v>
      </c>
    </row>
    <row r="313" spans="1:13" x14ac:dyDescent="0.3">
      <c r="A313" s="10" t="s">
        <v>716</v>
      </c>
      <c r="B313" s="11">
        <v>45376</v>
      </c>
      <c r="C313" s="10" t="s">
        <v>717</v>
      </c>
      <c r="D313" s="10" t="s">
        <v>48</v>
      </c>
      <c r="E313" s="10" t="s">
        <v>40</v>
      </c>
      <c r="F313" s="10" t="s">
        <v>76</v>
      </c>
      <c r="G313" s="10" t="s">
        <v>77</v>
      </c>
      <c r="H313" s="10" t="s">
        <v>43</v>
      </c>
      <c r="I313" s="10">
        <v>2</v>
      </c>
      <c r="J313" s="12">
        <v>180000</v>
      </c>
      <c r="K313" s="10">
        <v>0</v>
      </c>
      <c r="L313" s="10" t="s">
        <v>51</v>
      </c>
      <c r="M313" s="10" t="s">
        <v>221</v>
      </c>
    </row>
    <row r="314" spans="1:13" x14ac:dyDescent="0.3">
      <c r="A314" s="7" t="s">
        <v>718</v>
      </c>
      <c r="B314" s="8">
        <v>45616</v>
      </c>
      <c r="C314" s="7" t="s">
        <v>719</v>
      </c>
      <c r="D314" s="7" t="s">
        <v>65</v>
      </c>
      <c r="E314" s="7" t="s">
        <v>70</v>
      </c>
      <c r="F314" s="7" t="s">
        <v>50</v>
      </c>
      <c r="G314" s="7" t="s">
        <v>42</v>
      </c>
      <c r="H314" s="7" t="s">
        <v>71</v>
      </c>
      <c r="I314" s="7">
        <v>17</v>
      </c>
      <c r="J314" s="9">
        <v>18000</v>
      </c>
      <c r="K314" s="7">
        <v>15</v>
      </c>
      <c r="L314" s="7" t="s">
        <v>131</v>
      </c>
      <c r="M314" s="7" t="s">
        <v>72</v>
      </c>
    </row>
    <row r="315" spans="1:13" x14ac:dyDescent="0.3">
      <c r="A315" s="10" t="s">
        <v>720</v>
      </c>
      <c r="B315" s="11">
        <v>45337</v>
      </c>
      <c r="C315" s="10" t="s">
        <v>721</v>
      </c>
      <c r="D315" s="10" t="s">
        <v>65</v>
      </c>
      <c r="E315" s="10" t="s">
        <v>40</v>
      </c>
      <c r="F315" s="10" t="s">
        <v>92</v>
      </c>
      <c r="G315" s="10" t="s">
        <v>77</v>
      </c>
      <c r="H315" s="10" t="s">
        <v>71</v>
      </c>
      <c r="I315" s="10">
        <v>11</v>
      </c>
      <c r="J315" s="12">
        <v>450000</v>
      </c>
      <c r="K315" s="10">
        <v>20</v>
      </c>
      <c r="L315" s="10" t="s">
        <v>131</v>
      </c>
      <c r="M315" s="10" t="s">
        <v>93</v>
      </c>
    </row>
    <row r="316" spans="1:13" x14ac:dyDescent="0.3">
      <c r="A316" s="7" t="s">
        <v>722</v>
      </c>
      <c r="B316" s="8">
        <v>45482</v>
      </c>
      <c r="C316" s="7" t="s">
        <v>723</v>
      </c>
      <c r="D316" s="7" t="s">
        <v>154</v>
      </c>
      <c r="E316" s="7" t="s">
        <v>40</v>
      </c>
      <c r="F316" s="7" t="s">
        <v>41</v>
      </c>
      <c r="G316" s="7" t="s">
        <v>42</v>
      </c>
      <c r="H316" s="7" t="s">
        <v>43</v>
      </c>
      <c r="I316" s="7">
        <v>9</v>
      </c>
      <c r="J316" s="9">
        <v>35000</v>
      </c>
      <c r="K316" s="7">
        <v>20</v>
      </c>
      <c r="L316" s="7" t="s">
        <v>51</v>
      </c>
      <c r="M316" s="7" t="s">
        <v>45</v>
      </c>
    </row>
    <row r="317" spans="1:13" x14ac:dyDescent="0.3">
      <c r="A317" s="10" t="s">
        <v>724</v>
      </c>
      <c r="B317" s="11">
        <v>45406</v>
      </c>
      <c r="C317" s="10" t="s">
        <v>725</v>
      </c>
      <c r="D317" s="10" t="s">
        <v>81</v>
      </c>
      <c r="E317" s="10" t="s">
        <v>70</v>
      </c>
      <c r="F317" s="10" t="s">
        <v>99</v>
      </c>
      <c r="G317" s="10" t="s">
        <v>77</v>
      </c>
      <c r="H317" s="10" t="s">
        <v>71</v>
      </c>
      <c r="I317" s="10">
        <v>3</v>
      </c>
      <c r="J317" s="12">
        <v>95000</v>
      </c>
      <c r="K317" s="10">
        <v>0</v>
      </c>
      <c r="L317" s="10" t="s">
        <v>86</v>
      </c>
      <c r="M317" s="10" t="s">
        <v>100</v>
      </c>
    </row>
    <row r="318" spans="1:13" x14ac:dyDescent="0.3">
      <c r="A318" s="7" t="s">
        <v>726</v>
      </c>
      <c r="B318" s="8">
        <v>45301</v>
      </c>
      <c r="C318" s="7" t="s">
        <v>452</v>
      </c>
      <c r="D318" s="7" t="s">
        <v>118</v>
      </c>
      <c r="E318" s="7" t="s">
        <v>49</v>
      </c>
      <c r="F318" s="7" t="s">
        <v>57</v>
      </c>
      <c r="G318" s="7" t="s">
        <v>42</v>
      </c>
      <c r="H318" s="7" t="s">
        <v>43</v>
      </c>
      <c r="I318" s="7">
        <v>3</v>
      </c>
      <c r="J318" s="9">
        <v>28000</v>
      </c>
      <c r="K318" s="7">
        <v>20</v>
      </c>
      <c r="L318" s="7" t="s">
        <v>51</v>
      </c>
      <c r="M318" s="7" t="s">
        <v>58</v>
      </c>
    </row>
    <row r="319" spans="1:13" x14ac:dyDescent="0.3">
      <c r="A319" s="10" t="s">
        <v>727</v>
      </c>
      <c r="B319" s="11">
        <v>45646</v>
      </c>
      <c r="C319" s="10" t="s">
        <v>728</v>
      </c>
      <c r="D319" s="10" t="s">
        <v>55</v>
      </c>
      <c r="E319" s="10" t="s">
        <v>49</v>
      </c>
      <c r="F319" s="10" t="s">
        <v>41</v>
      </c>
      <c r="G319" s="10" t="s">
        <v>42</v>
      </c>
      <c r="H319" s="10" t="s">
        <v>71</v>
      </c>
      <c r="I319" s="10">
        <v>17</v>
      </c>
      <c r="J319" s="12">
        <v>35000</v>
      </c>
      <c r="K319" s="10">
        <v>15</v>
      </c>
      <c r="L319" s="10" t="s">
        <v>51</v>
      </c>
      <c r="M319" s="10" t="s">
        <v>344</v>
      </c>
    </row>
    <row r="320" spans="1:13" x14ac:dyDescent="0.3">
      <c r="A320" s="7" t="s">
        <v>729</v>
      </c>
      <c r="B320" s="8">
        <v>45488</v>
      </c>
      <c r="C320" s="7" t="s">
        <v>730</v>
      </c>
      <c r="D320" s="7" t="s">
        <v>118</v>
      </c>
      <c r="E320" s="7" t="s">
        <v>49</v>
      </c>
      <c r="F320" s="7" t="s">
        <v>61</v>
      </c>
      <c r="G320" s="7" t="s">
        <v>42</v>
      </c>
      <c r="H320" s="7" t="s">
        <v>66</v>
      </c>
      <c r="I320" s="7">
        <v>15</v>
      </c>
      <c r="J320" s="9">
        <v>22000</v>
      </c>
      <c r="K320" s="7">
        <v>0</v>
      </c>
      <c r="L320" s="7" t="s">
        <v>44</v>
      </c>
      <c r="M320" s="7" t="s">
        <v>87</v>
      </c>
    </row>
    <row r="321" spans="1:13" x14ac:dyDescent="0.3">
      <c r="A321" s="10" t="s">
        <v>731</v>
      </c>
      <c r="B321" s="11">
        <v>45540</v>
      </c>
      <c r="C321" s="10" t="s">
        <v>427</v>
      </c>
      <c r="D321" s="10" t="s">
        <v>81</v>
      </c>
      <c r="E321" s="10" t="s">
        <v>56</v>
      </c>
      <c r="F321" s="10" t="s">
        <v>61</v>
      </c>
      <c r="G321" s="10" t="s">
        <v>42</v>
      </c>
      <c r="H321" s="10" t="s">
        <v>71</v>
      </c>
      <c r="I321" s="10">
        <v>8</v>
      </c>
      <c r="J321" s="12">
        <v>22000</v>
      </c>
      <c r="K321" s="10">
        <v>5</v>
      </c>
      <c r="L321" s="10" t="s">
        <v>51</v>
      </c>
      <c r="M321" s="10" t="s">
        <v>115</v>
      </c>
    </row>
    <row r="322" spans="1:13" x14ac:dyDescent="0.3">
      <c r="A322" s="7" t="s">
        <v>732</v>
      </c>
      <c r="B322" s="8">
        <v>45526</v>
      </c>
      <c r="C322" s="7" t="s">
        <v>733</v>
      </c>
      <c r="D322" s="7" t="s">
        <v>81</v>
      </c>
      <c r="E322" s="7" t="s">
        <v>70</v>
      </c>
      <c r="F322" s="7" t="s">
        <v>92</v>
      </c>
      <c r="G322" s="7" t="s">
        <v>77</v>
      </c>
      <c r="H322" s="7" t="s">
        <v>71</v>
      </c>
      <c r="I322" s="7">
        <v>15</v>
      </c>
      <c r="J322" s="9">
        <v>450000</v>
      </c>
      <c r="K322" s="7">
        <v>5</v>
      </c>
      <c r="L322" s="7" t="s">
        <v>86</v>
      </c>
      <c r="M322" s="7" t="s">
        <v>93</v>
      </c>
    </row>
    <row r="323" spans="1:13" x14ac:dyDescent="0.3">
      <c r="A323" s="10" t="s">
        <v>734</v>
      </c>
      <c r="B323" s="11">
        <v>45338</v>
      </c>
      <c r="C323" s="10" t="s">
        <v>735</v>
      </c>
      <c r="D323" s="10" t="s">
        <v>48</v>
      </c>
      <c r="E323" s="10" t="s">
        <v>40</v>
      </c>
      <c r="F323" s="10" t="s">
        <v>57</v>
      </c>
      <c r="G323" s="10" t="s">
        <v>42</v>
      </c>
      <c r="H323" s="10" t="s">
        <v>43</v>
      </c>
      <c r="I323" s="10">
        <v>15</v>
      </c>
      <c r="J323" s="12">
        <v>28000</v>
      </c>
      <c r="K323" s="10">
        <v>20</v>
      </c>
      <c r="L323" s="10" t="s">
        <v>131</v>
      </c>
      <c r="M323" s="10" t="s">
        <v>58</v>
      </c>
    </row>
    <row r="324" spans="1:13" x14ac:dyDescent="0.3">
      <c r="A324" s="7" t="s">
        <v>736</v>
      </c>
      <c r="B324" s="8">
        <v>45600</v>
      </c>
      <c r="C324" s="7" t="s">
        <v>737</v>
      </c>
      <c r="D324" s="7" t="s">
        <v>81</v>
      </c>
      <c r="E324" s="7" t="s">
        <v>49</v>
      </c>
      <c r="F324" s="7" t="s">
        <v>61</v>
      </c>
      <c r="G324" s="7" t="s">
        <v>42</v>
      </c>
      <c r="H324" s="7" t="s">
        <v>66</v>
      </c>
      <c r="I324" s="7">
        <v>18</v>
      </c>
      <c r="J324" s="9">
        <v>22000</v>
      </c>
      <c r="K324" s="7">
        <v>0</v>
      </c>
      <c r="L324" s="7" t="s">
        <v>51</v>
      </c>
      <c r="M324" s="7" t="s">
        <v>87</v>
      </c>
    </row>
    <row r="325" spans="1:13" x14ac:dyDescent="0.3">
      <c r="A325" s="10" t="s">
        <v>738</v>
      </c>
      <c r="B325" s="11">
        <v>45386</v>
      </c>
      <c r="C325" s="10" t="s">
        <v>739</v>
      </c>
      <c r="D325" s="10" t="s">
        <v>118</v>
      </c>
      <c r="E325" s="10" t="s">
        <v>70</v>
      </c>
      <c r="F325" s="10" t="s">
        <v>57</v>
      </c>
      <c r="G325" s="10" t="s">
        <v>42</v>
      </c>
      <c r="H325" s="10" t="s">
        <v>66</v>
      </c>
      <c r="I325" s="10">
        <v>10</v>
      </c>
      <c r="J325" s="12">
        <v>28000</v>
      </c>
      <c r="K325" s="10">
        <v>0</v>
      </c>
      <c r="L325" s="10" t="s">
        <v>131</v>
      </c>
      <c r="M325" s="10" t="s">
        <v>67</v>
      </c>
    </row>
    <row r="326" spans="1:13" x14ac:dyDescent="0.3">
      <c r="A326" s="7" t="s">
        <v>740</v>
      </c>
      <c r="B326" s="8">
        <v>45325</v>
      </c>
      <c r="C326" s="7" t="s">
        <v>741</v>
      </c>
      <c r="D326" s="7" t="s">
        <v>109</v>
      </c>
      <c r="E326" s="7" t="s">
        <v>70</v>
      </c>
      <c r="F326" s="7" t="s">
        <v>82</v>
      </c>
      <c r="G326" s="7" t="s">
        <v>77</v>
      </c>
      <c r="H326" s="7" t="s">
        <v>66</v>
      </c>
      <c r="I326" s="7">
        <v>11</v>
      </c>
      <c r="J326" s="9">
        <v>220000</v>
      </c>
      <c r="K326" s="7">
        <v>15</v>
      </c>
      <c r="L326" s="7" t="s">
        <v>131</v>
      </c>
      <c r="M326" s="7" t="s">
        <v>103</v>
      </c>
    </row>
    <row r="327" spans="1:13" x14ac:dyDescent="0.3">
      <c r="A327" s="10" t="s">
        <v>742</v>
      </c>
      <c r="B327" s="11">
        <v>45476</v>
      </c>
      <c r="C327" s="10" t="s">
        <v>743</v>
      </c>
      <c r="D327" s="10" t="s">
        <v>109</v>
      </c>
      <c r="E327" s="10" t="s">
        <v>70</v>
      </c>
      <c r="F327" s="10" t="s">
        <v>82</v>
      </c>
      <c r="G327" s="10" t="s">
        <v>77</v>
      </c>
      <c r="H327" s="10" t="s">
        <v>66</v>
      </c>
      <c r="I327" s="10">
        <v>3</v>
      </c>
      <c r="J327" s="12">
        <v>220000</v>
      </c>
      <c r="K327" s="10">
        <v>0</v>
      </c>
      <c r="L327" s="10" t="s">
        <v>51</v>
      </c>
      <c r="M327" s="10" t="s">
        <v>103</v>
      </c>
    </row>
    <row r="328" spans="1:13" x14ac:dyDescent="0.3">
      <c r="A328" s="7" t="s">
        <v>744</v>
      </c>
      <c r="B328" s="8">
        <v>45388</v>
      </c>
      <c r="C328" s="7" t="s">
        <v>479</v>
      </c>
      <c r="D328" s="7" t="s">
        <v>65</v>
      </c>
      <c r="E328" s="7" t="s">
        <v>49</v>
      </c>
      <c r="F328" s="7" t="s">
        <v>92</v>
      </c>
      <c r="G328" s="7" t="s">
        <v>77</v>
      </c>
      <c r="H328" s="7" t="s">
        <v>43</v>
      </c>
      <c r="I328" s="7">
        <v>19</v>
      </c>
      <c r="J328" s="9">
        <v>450000</v>
      </c>
      <c r="K328" s="7">
        <v>15</v>
      </c>
      <c r="L328" s="7" t="s">
        <v>131</v>
      </c>
      <c r="M328" s="7" t="s">
        <v>106</v>
      </c>
    </row>
    <row r="329" spans="1:13" x14ac:dyDescent="0.3">
      <c r="A329" s="10" t="s">
        <v>745</v>
      </c>
      <c r="B329" s="11">
        <v>45364</v>
      </c>
      <c r="C329" s="10" t="s">
        <v>746</v>
      </c>
      <c r="D329" s="10" t="s">
        <v>39</v>
      </c>
      <c r="E329" s="10" t="s">
        <v>40</v>
      </c>
      <c r="F329" s="10" t="s">
        <v>82</v>
      </c>
      <c r="G329" s="10" t="s">
        <v>77</v>
      </c>
      <c r="H329" s="10" t="s">
        <v>163</v>
      </c>
      <c r="I329" s="10">
        <v>3</v>
      </c>
      <c r="J329" s="12">
        <v>220000</v>
      </c>
      <c r="K329" s="10">
        <v>0</v>
      </c>
      <c r="L329" s="10" t="s">
        <v>164</v>
      </c>
      <c r="M329" s="10" t="s">
        <v>747</v>
      </c>
    </row>
    <row r="330" spans="1:13" x14ac:dyDescent="0.3">
      <c r="A330" s="7" t="s">
        <v>748</v>
      </c>
      <c r="B330" s="8">
        <v>45551</v>
      </c>
      <c r="C330" s="7" t="s">
        <v>749</v>
      </c>
      <c r="D330" s="7" t="s">
        <v>75</v>
      </c>
      <c r="E330" s="7" t="s">
        <v>40</v>
      </c>
      <c r="F330" s="7" t="s">
        <v>61</v>
      </c>
      <c r="G330" s="7" t="s">
        <v>42</v>
      </c>
      <c r="H330" s="7" t="s">
        <v>71</v>
      </c>
      <c r="I330" s="7">
        <v>6</v>
      </c>
      <c r="J330" s="9">
        <v>22000</v>
      </c>
      <c r="K330" s="7">
        <v>0</v>
      </c>
      <c r="L330" s="7" t="s">
        <v>131</v>
      </c>
      <c r="M330" s="7" t="s">
        <v>115</v>
      </c>
    </row>
    <row r="331" spans="1:13" x14ac:dyDescent="0.3">
      <c r="A331" s="10" t="s">
        <v>750</v>
      </c>
      <c r="B331" s="11">
        <v>45393</v>
      </c>
      <c r="C331" s="10" t="s">
        <v>751</v>
      </c>
      <c r="D331" s="10" t="s">
        <v>65</v>
      </c>
      <c r="E331" s="10" t="s">
        <v>56</v>
      </c>
      <c r="F331" s="10" t="s">
        <v>99</v>
      </c>
      <c r="G331" s="10" t="s">
        <v>77</v>
      </c>
      <c r="H331" s="10" t="s">
        <v>43</v>
      </c>
      <c r="I331" s="10">
        <v>16</v>
      </c>
      <c r="J331" s="12">
        <v>95000</v>
      </c>
      <c r="K331" s="10">
        <v>10</v>
      </c>
      <c r="L331" s="10" t="s">
        <v>131</v>
      </c>
      <c r="M331" s="10" t="s">
        <v>149</v>
      </c>
    </row>
    <row r="332" spans="1:13" x14ac:dyDescent="0.3">
      <c r="A332" s="7" t="s">
        <v>752</v>
      </c>
      <c r="B332" s="8">
        <v>45305</v>
      </c>
      <c r="C332" s="7" t="s">
        <v>753</v>
      </c>
      <c r="D332" s="7" t="s">
        <v>118</v>
      </c>
      <c r="E332" s="7" t="s">
        <v>49</v>
      </c>
      <c r="F332" s="7" t="s">
        <v>92</v>
      </c>
      <c r="G332" s="7" t="s">
        <v>77</v>
      </c>
      <c r="H332" s="7" t="s">
        <v>71</v>
      </c>
      <c r="I332" s="7">
        <v>3</v>
      </c>
      <c r="J332" s="9">
        <v>450000</v>
      </c>
      <c r="K332" s="7">
        <v>10</v>
      </c>
      <c r="L332" s="7" t="s">
        <v>51</v>
      </c>
      <c r="M332" s="7" t="s">
        <v>93</v>
      </c>
    </row>
    <row r="333" spans="1:13" x14ac:dyDescent="0.3">
      <c r="A333" s="10" t="s">
        <v>754</v>
      </c>
      <c r="B333" s="11">
        <v>46185</v>
      </c>
      <c r="C333" s="10" t="s">
        <v>755</v>
      </c>
      <c r="D333" s="10" t="s">
        <v>81</v>
      </c>
      <c r="E333" s="10" t="s">
        <v>70</v>
      </c>
      <c r="F333" s="10" t="s">
        <v>82</v>
      </c>
      <c r="G333" s="10" t="s">
        <v>77</v>
      </c>
      <c r="H333" s="10" t="s">
        <v>43</v>
      </c>
      <c r="I333" s="10">
        <v>11</v>
      </c>
      <c r="J333" s="12">
        <v>220000</v>
      </c>
      <c r="K333" s="10">
        <v>10</v>
      </c>
      <c r="L333" s="10" t="s">
        <v>86</v>
      </c>
      <c r="M333" s="10" t="s">
        <v>204</v>
      </c>
    </row>
    <row r="334" spans="1:13" x14ac:dyDescent="0.3">
      <c r="A334" s="7" t="s">
        <v>756</v>
      </c>
      <c r="B334" s="8">
        <v>45536</v>
      </c>
      <c r="C334" s="7" t="s">
        <v>757</v>
      </c>
      <c r="D334" s="7" t="s">
        <v>55</v>
      </c>
      <c r="E334" s="7" t="s">
        <v>70</v>
      </c>
      <c r="F334" s="7" t="s">
        <v>82</v>
      </c>
      <c r="G334" s="7" t="s">
        <v>77</v>
      </c>
      <c r="H334" s="7" t="s">
        <v>66</v>
      </c>
      <c r="I334" s="7">
        <v>6</v>
      </c>
      <c r="J334" s="9">
        <v>220000</v>
      </c>
      <c r="K334" s="7">
        <v>0</v>
      </c>
      <c r="L334" s="7" t="s">
        <v>44</v>
      </c>
      <c r="M334" s="7" t="s">
        <v>103</v>
      </c>
    </row>
    <row r="335" spans="1:13" x14ac:dyDescent="0.3">
      <c r="A335" s="10" t="s">
        <v>758</v>
      </c>
      <c r="B335" s="11">
        <v>45393</v>
      </c>
      <c r="C335" s="10" t="s">
        <v>759</v>
      </c>
      <c r="D335" s="10" t="s">
        <v>141</v>
      </c>
      <c r="E335" s="10" t="s">
        <v>40</v>
      </c>
      <c r="F335" s="10" t="s">
        <v>41</v>
      </c>
      <c r="G335" s="10" t="s">
        <v>42</v>
      </c>
      <c r="H335" s="10" t="s">
        <v>66</v>
      </c>
      <c r="I335" s="10">
        <v>19</v>
      </c>
      <c r="J335" s="12">
        <v>35000</v>
      </c>
      <c r="K335" s="10">
        <v>0</v>
      </c>
      <c r="L335" s="10" t="s">
        <v>44</v>
      </c>
      <c r="M335" s="10" t="s">
        <v>180</v>
      </c>
    </row>
    <row r="336" spans="1:13" x14ac:dyDescent="0.3">
      <c r="A336" s="7" t="s">
        <v>760</v>
      </c>
      <c r="B336" s="8">
        <v>45377</v>
      </c>
      <c r="C336" s="7" t="s">
        <v>761</v>
      </c>
      <c r="D336" s="7" t="s">
        <v>39</v>
      </c>
      <c r="E336" s="7" t="s">
        <v>237</v>
      </c>
      <c r="F336" s="7" t="s">
        <v>41</v>
      </c>
      <c r="G336" s="7" t="s">
        <v>42</v>
      </c>
      <c r="H336" s="7" t="s">
        <v>43</v>
      </c>
      <c r="I336" s="7">
        <v>6</v>
      </c>
      <c r="J336" s="9">
        <v>35000</v>
      </c>
      <c r="K336" s="7">
        <v>10</v>
      </c>
      <c r="L336" s="7" t="s">
        <v>174</v>
      </c>
      <c r="M336" s="7" t="s">
        <v>45</v>
      </c>
    </row>
    <row r="337" spans="1:13" x14ac:dyDescent="0.3">
      <c r="A337" s="10" t="s">
        <v>762</v>
      </c>
      <c r="B337" s="11">
        <v>45541</v>
      </c>
      <c r="C337" s="10" t="s">
        <v>763</v>
      </c>
      <c r="D337" s="10" t="s">
        <v>81</v>
      </c>
      <c r="E337" s="10" t="s">
        <v>70</v>
      </c>
      <c r="F337" s="10" t="s">
        <v>50</v>
      </c>
      <c r="G337" s="10" t="s">
        <v>42</v>
      </c>
      <c r="H337" s="10" t="s">
        <v>71</v>
      </c>
      <c r="I337" s="10">
        <v>10</v>
      </c>
      <c r="J337" s="12">
        <v>999999999</v>
      </c>
      <c r="K337" s="10">
        <v>15</v>
      </c>
      <c r="L337" s="10" t="s">
        <v>51</v>
      </c>
      <c r="M337" s="10" t="s">
        <v>72</v>
      </c>
    </row>
    <row r="338" spans="1:13" x14ac:dyDescent="0.3">
      <c r="A338" s="7" t="s">
        <v>764</v>
      </c>
      <c r="B338" s="8">
        <v>45494</v>
      </c>
      <c r="C338" s="7" t="s">
        <v>765</v>
      </c>
      <c r="D338" s="7" t="s">
        <v>118</v>
      </c>
      <c r="E338" s="7" t="s">
        <v>70</v>
      </c>
      <c r="F338" s="7" t="s">
        <v>50</v>
      </c>
      <c r="G338" s="7" t="s">
        <v>42</v>
      </c>
      <c r="H338" s="7" t="s">
        <v>71</v>
      </c>
      <c r="I338" s="7">
        <v>6</v>
      </c>
      <c r="J338" s="9">
        <v>18000</v>
      </c>
      <c r="K338" s="7">
        <v>10</v>
      </c>
      <c r="L338" s="7" t="s">
        <v>131</v>
      </c>
      <c r="M338" s="7" t="s">
        <v>72</v>
      </c>
    </row>
    <row r="339" spans="1:13" x14ac:dyDescent="0.3">
      <c r="A339" s="10" t="s">
        <v>766</v>
      </c>
      <c r="B339" s="11">
        <v>45631</v>
      </c>
      <c r="C339" s="10" t="s">
        <v>767</v>
      </c>
      <c r="D339" s="10" t="s">
        <v>65</v>
      </c>
      <c r="E339" s="10" t="s">
        <v>40</v>
      </c>
      <c r="F339" s="10" t="s">
        <v>61</v>
      </c>
      <c r="G339" s="10" t="s">
        <v>42</v>
      </c>
      <c r="H339" s="10" t="s">
        <v>71</v>
      </c>
      <c r="I339" s="10">
        <v>18</v>
      </c>
      <c r="J339" s="12">
        <v>22000</v>
      </c>
      <c r="K339" s="10">
        <v>0</v>
      </c>
      <c r="L339" s="10" t="s">
        <v>51</v>
      </c>
      <c r="M339" s="10" t="s">
        <v>115</v>
      </c>
    </row>
    <row r="340" spans="1:13" x14ac:dyDescent="0.3">
      <c r="A340" s="7" t="s">
        <v>768</v>
      </c>
      <c r="B340" s="8">
        <v>45427</v>
      </c>
      <c r="C340" s="7" t="s">
        <v>769</v>
      </c>
      <c r="D340" s="7" t="s">
        <v>48</v>
      </c>
      <c r="E340" s="7" t="s">
        <v>56</v>
      </c>
      <c r="F340" s="7" t="s">
        <v>50</v>
      </c>
      <c r="G340" s="7" t="s">
        <v>42</v>
      </c>
      <c r="H340" s="7" t="s">
        <v>71</v>
      </c>
      <c r="I340" s="7">
        <v>7</v>
      </c>
      <c r="J340" s="9">
        <v>18000</v>
      </c>
      <c r="K340" s="7">
        <v>5</v>
      </c>
      <c r="L340" s="7" t="s">
        <v>86</v>
      </c>
      <c r="M340" s="7" t="s">
        <v>72</v>
      </c>
    </row>
    <row r="341" spans="1:13" x14ac:dyDescent="0.3">
      <c r="A341" s="10" t="s">
        <v>770</v>
      </c>
      <c r="B341" s="11">
        <v>45608</v>
      </c>
      <c r="C341" s="10" t="s">
        <v>129</v>
      </c>
      <c r="D341" s="10" t="s">
        <v>118</v>
      </c>
      <c r="E341" s="10" t="s">
        <v>40</v>
      </c>
      <c r="F341" s="10" t="s">
        <v>41</v>
      </c>
      <c r="G341" s="10" t="s">
        <v>42</v>
      </c>
      <c r="H341" s="10" t="s">
        <v>43</v>
      </c>
      <c r="I341" s="10">
        <v>15</v>
      </c>
      <c r="J341" s="12">
        <v>35000</v>
      </c>
      <c r="K341" s="10">
        <v>10</v>
      </c>
      <c r="L341" s="10" t="s">
        <v>51</v>
      </c>
      <c r="M341" s="10" t="s">
        <v>45</v>
      </c>
    </row>
    <row r="342" spans="1:13" x14ac:dyDescent="0.3">
      <c r="A342" s="7" t="s">
        <v>771</v>
      </c>
      <c r="B342" s="8">
        <v>45376</v>
      </c>
      <c r="C342" s="7" t="s">
        <v>772</v>
      </c>
      <c r="D342" s="7" t="s">
        <v>39</v>
      </c>
      <c r="E342" s="7" t="s">
        <v>70</v>
      </c>
      <c r="F342" s="7" t="s">
        <v>57</v>
      </c>
      <c r="G342" s="7" t="s">
        <v>42</v>
      </c>
      <c r="H342" s="7" t="s">
        <v>71</v>
      </c>
      <c r="I342" s="7">
        <v>3</v>
      </c>
      <c r="J342" s="9">
        <v>28000</v>
      </c>
      <c r="K342" s="7">
        <v>0</v>
      </c>
      <c r="L342" s="7" t="s">
        <v>44</v>
      </c>
      <c r="M342" s="7" t="s">
        <v>96</v>
      </c>
    </row>
    <row r="343" spans="1:13" x14ac:dyDescent="0.3">
      <c r="A343" s="10" t="s">
        <v>773</v>
      </c>
      <c r="B343" s="11">
        <v>45514</v>
      </c>
      <c r="C343" s="10" t="s">
        <v>774</v>
      </c>
      <c r="D343" s="10" t="s">
        <v>75</v>
      </c>
      <c r="E343" s="10" t="s">
        <v>40</v>
      </c>
      <c r="F343" s="10" t="s">
        <v>99</v>
      </c>
      <c r="G343" s="10" t="s">
        <v>77</v>
      </c>
      <c r="H343" s="10" t="s">
        <v>66</v>
      </c>
      <c r="I343" s="10">
        <v>17</v>
      </c>
      <c r="J343" s="12">
        <v>95000</v>
      </c>
      <c r="K343" s="10">
        <v>5</v>
      </c>
      <c r="L343" s="10" t="s">
        <v>51</v>
      </c>
      <c r="M343" s="10" t="s">
        <v>232</v>
      </c>
    </row>
    <row r="344" spans="1:13" x14ac:dyDescent="0.3">
      <c r="A344" s="7" t="s">
        <v>775</v>
      </c>
      <c r="B344" s="8">
        <v>45568</v>
      </c>
      <c r="C344" s="7" t="s">
        <v>776</v>
      </c>
      <c r="D344" s="7" t="s">
        <v>118</v>
      </c>
      <c r="E344" s="7" t="s">
        <v>56</v>
      </c>
      <c r="F344" s="7" t="s">
        <v>99</v>
      </c>
      <c r="G344" s="7" t="s">
        <v>77</v>
      </c>
      <c r="H344" s="7" t="s">
        <v>43</v>
      </c>
      <c r="I344" s="7">
        <v>18</v>
      </c>
      <c r="J344" s="9">
        <v>95000</v>
      </c>
      <c r="K344" s="7">
        <v>0</v>
      </c>
      <c r="L344" s="7" t="s">
        <v>51</v>
      </c>
      <c r="M344" s="7" t="s">
        <v>149</v>
      </c>
    </row>
    <row r="345" spans="1:13" x14ac:dyDescent="0.3">
      <c r="A345" s="10" t="s">
        <v>777</v>
      </c>
      <c r="B345" s="11">
        <v>45376</v>
      </c>
      <c r="C345" s="10" t="s">
        <v>778</v>
      </c>
      <c r="D345" s="10" t="s">
        <v>65</v>
      </c>
      <c r="E345" s="10" t="s">
        <v>70</v>
      </c>
      <c r="F345" s="10" t="s">
        <v>99</v>
      </c>
      <c r="G345" s="10" t="s">
        <v>77</v>
      </c>
      <c r="H345" s="10" t="s">
        <v>71</v>
      </c>
      <c r="I345" s="10">
        <v>16</v>
      </c>
      <c r="J345" s="12">
        <v>95000</v>
      </c>
      <c r="K345" s="10">
        <v>15</v>
      </c>
      <c r="L345" s="10" t="s">
        <v>131</v>
      </c>
      <c r="M345" s="10" t="s">
        <v>100</v>
      </c>
    </row>
    <row r="346" spans="1:13" x14ac:dyDescent="0.3">
      <c r="A346" s="7" t="s">
        <v>779</v>
      </c>
      <c r="B346" s="8">
        <v>45367</v>
      </c>
      <c r="C346" s="7" t="s">
        <v>611</v>
      </c>
      <c r="D346" s="7" t="s">
        <v>81</v>
      </c>
      <c r="E346" s="7" t="s">
        <v>49</v>
      </c>
      <c r="F346" s="7" t="s">
        <v>99</v>
      </c>
      <c r="G346" s="7" t="s">
        <v>77</v>
      </c>
      <c r="H346" s="7" t="s">
        <v>66</v>
      </c>
      <c r="I346" s="7">
        <v>4</v>
      </c>
      <c r="J346" s="9">
        <v>95000</v>
      </c>
      <c r="K346" s="7">
        <v>0</v>
      </c>
      <c r="L346" s="7" t="s">
        <v>86</v>
      </c>
      <c r="M346" s="7" t="s">
        <v>232</v>
      </c>
    </row>
    <row r="347" spans="1:13" x14ac:dyDescent="0.3">
      <c r="A347" s="10" t="s">
        <v>780</v>
      </c>
      <c r="B347" s="11">
        <v>45580</v>
      </c>
      <c r="C347" s="10" t="s">
        <v>781</v>
      </c>
      <c r="D347" s="10" t="s">
        <v>141</v>
      </c>
      <c r="E347" s="10" t="s">
        <v>70</v>
      </c>
      <c r="F347" s="10" t="s">
        <v>76</v>
      </c>
      <c r="G347" s="10" t="s">
        <v>77</v>
      </c>
      <c r="H347" s="10" t="s">
        <v>71</v>
      </c>
      <c r="I347" s="10">
        <v>19</v>
      </c>
      <c r="J347" s="12">
        <v>180000</v>
      </c>
      <c r="K347" s="10">
        <v>20</v>
      </c>
      <c r="L347" s="10" t="s">
        <v>51</v>
      </c>
      <c r="M347" s="10" t="s">
        <v>142</v>
      </c>
    </row>
    <row r="348" spans="1:13" x14ac:dyDescent="0.3">
      <c r="A348" s="7" t="s">
        <v>782</v>
      </c>
      <c r="B348" s="8">
        <v>45395</v>
      </c>
      <c r="C348" s="7" t="s">
        <v>783</v>
      </c>
      <c r="D348" s="7" t="s">
        <v>81</v>
      </c>
      <c r="E348" s="7" t="s">
        <v>40</v>
      </c>
      <c r="F348" s="7" t="s">
        <v>99</v>
      </c>
      <c r="G348" s="7" t="s">
        <v>77</v>
      </c>
      <c r="H348" s="7" t="s">
        <v>66</v>
      </c>
      <c r="I348" s="7">
        <v>1</v>
      </c>
      <c r="J348" s="9">
        <v>95000</v>
      </c>
      <c r="K348" s="7">
        <v>15</v>
      </c>
      <c r="L348" s="7" t="s">
        <v>44</v>
      </c>
      <c r="M348" s="7" t="s">
        <v>232</v>
      </c>
    </row>
    <row r="349" spans="1:13" x14ac:dyDescent="0.3">
      <c r="A349" s="10" t="s">
        <v>784</v>
      </c>
      <c r="B349" s="11">
        <v>45615</v>
      </c>
      <c r="C349" s="10" t="s">
        <v>785</v>
      </c>
      <c r="D349" s="10" t="s">
        <v>75</v>
      </c>
      <c r="E349" s="10" t="s">
        <v>40</v>
      </c>
      <c r="F349" s="10" t="s">
        <v>50</v>
      </c>
      <c r="G349" s="10" t="s">
        <v>42</v>
      </c>
      <c r="H349" s="10" t="s">
        <v>66</v>
      </c>
      <c r="I349" s="10">
        <v>14</v>
      </c>
      <c r="J349" s="12">
        <v>18000</v>
      </c>
      <c r="K349" s="10">
        <v>0</v>
      </c>
      <c r="L349" s="10" t="s">
        <v>51</v>
      </c>
      <c r="M349" s="10" t="s">
        <v>123</v>
      </c>
    </row>
    <row r="350" spans="1:13" x14ac:dyDescent="0.3">
      <c r="A350" s="7" t="s">
        <v>786</v>
      </c>
      <c r="B350" s="8">
        <v>45623</v>
      </c>
      <c r="C350" s="7" t="s">
        <v>787</v>
      </c>
      <c r="D350" s="7" t="s">
        <v>65</v>
      </c>
      <c r="E350" s="7" t="s">
        <v>49</v>
      </c>
      <c r="F350" s="7" t="s">
        <v>50</v>
      </c>
      <c r="G350" s="7" t="s">
        <v>42</v>
      </c>
      <c r="H350" s="7" t="s">
        <v>71</v>
      </c>
      <c r="I350" s="7">
        <v>20</v>
      </c>
      <c r="J350" s="9">
        <v>18000</v>
      </c>
      <c r="K350" s="7">
        <v>0</v>
      </c>
      <c r="L350" s="7" t="s">
        <v>86</v>
      </c>
      <c r="M350" s="7" t="s">
        <v>72</v>
      </c>
    </row>
    <row r="351" spans="1:13" x14ac:dyDescent="0.3">
      <c r="A351" s="10" t="s">
        <v>788</v>
      </c>
      <c r="B351" s="11">
        <v>45556</v>
      </c>
      <c r="C351" s="10" t="s">
        <v>789</v>
      </c>
      <c r="D351" s="10" t="s">
        <v>154</v>
      </c>
      <c r="E351" s="10" t="s">
        <v>56</v>
      </c>
      <c r="F351" s="10" t="s">
        <v>82</v>
      </c>
      <c r="G351" s="10" t="s">
        <v>77</v>
      </c>
      <c r="H351" s="10" t="s">
        <v>66</v>
      </c>
      <c r="I351" s="10">
        <v>5</v>
      </c>
      <c r="J351" s="12">
        <v>220000</v>
      </c>
      <c r="K351" s="10">
        <v>20</v>
      </c>
      <c r="L351" s="10" t="s">
        <v>86</v>
      </c>
      <c r="M351" s="10" t="s">
        <v>103</v>
      </c>
    </row>
    <row r="352" spans="1:13" x14ac:dyDescent="0.3">
      <c r="A352" s="7" t="s">
        <v>790</v>
      </c>
      <c r="B352" s="8">
        <v>45455</v>
      </c>
      <c r="C352" s="7" t="s">
        <v>791</v>
      </c>
      <c r="D352" s="7" t="s">
        <v>48</v>
      </c>
      <c r="E352" s="7" t="s">
        <v>528</v>
      </c>
      <c r="F352" s="7" t="s">
        <v>61</v>
      </c>
      <c r="G352" s="7" t="s">
        <v>42</v>
      </c>
      <c r="H352" s="7" t="s">
        <v>130</v>
      </c>
      <c r="I352" s="7">
        <v>19</v>
      </c>
      <c r="J352" s="9">
        <v>22000</v>
      </c>
      <c r="K352" s="7">
        <v>0</v>
      </c>
      <c r="L352" s="7" t="s">
        <v>174</v>
      </c>
      <c r="M352" s="7" t="s">
        <v>792</v>
      </c>
    </row>
    <row r="353" spans="1:13" x14ac:dyDescent="0.3">
      <c r="A353" s="10" t="s">
        <v>793</v>
      </c>
      <c r="B353" s="11">
        <v>45374</v>
      </c>
      <c r="C353" s="10" t="s">
        <v>794</v>
      </c>
      <c r="D353" s="10" t="s">
        <v>65</v>
      </c>
      <c r="E353" s="10" t="s">
        <v>70</v>
      </c>
      <c r="F353" s="10" t="s">
        <v>50</v>
      </c>
      <c r="G353" s="10" t="s">
        <v>42</v>
      </c>
      <c r="H353" s="10" t="s">
        <v>43</v>
      </c>
      <c r="I353" s="10">
        <v>9</v>
      </c>
      <c r="J353" s="12">
        <v>18000</v>
      </c>
      <c r="K353" s="10">
        <v>15</v>
      </c>
      <c r="L353" s="10" t="s">
        <v>44</v>
      </c>
      <c r="M353" s="10" t="s">
        <v>52</v>
      </c>
    </row>
    <row r="354" spans="1:13" x14ac:dyDescent="0.3">
      <c r="A354" s="7" t="s">
        <v>119</v>
      </c>
      <c r="B354" s="8">
        <v>45574</v>
      </c>
      <c r="C354" s="7" t="s">
        <v>120</v>
      </c>
      <c r="D354" s="7" t="s">
        <v>75</v>
      </c>
      <c r="E354" s="7" t="s">
        <v>207</v>
      </c>
      <c r="F354" s="7" t="s">
        <v>61</v>
      </c>
      <c r="G354" s="7" t="s">
        <v>42</v>
      </c>
      <c r="H354" s="7" t="s">
        <v>163</v>
      </c>
      <c r="I354" s="7">
        <v>8</v>
      </c>
      <c r="J354" s="9">
        <v>22000</v>
      </c>
      <c r="K354" s="7">
        <v>5</v>
      </c>
      <c r="L354" s="7" t="s">
        <v>174</v>
      </c>
      <c r="M354" s="7" t="s">
        <v>175</v>
      </c>
    </row>
    <row r="355" spans="1:13" x14ac:dyDescent="0.3">
      <c r="A355" s="10" t="s">
        <v>795</v>
      </c>
      <c r="B355" s="11">
        <v>45511</v>
      </c>
      <c r="C355" s="10" t="s">
        <v>796</v>
      </c>
      <c r="D355" s="10" t="s">
        <v>48</v>
      </c>
      <c r="E355" s="10" t="s">
        <v>49</v>
      </c>
      <c r="F355" s="10" t="s">
        <v>92</v>
      </c>
      <c r="G355" s="10" t="s">
        <v>77</v>
      </c>
      <c r="H355" s="10" t="s">
        <v>66</v>
      </c>
      <c r="I355" s="10">
        <v>9</v>
      </c>
      <c r="J355" s="12">
        <v>450000</v>
      </c>
      <c r="K355" s="10">
        <v>15</v>
      </c>
      <c r="L355" s="10" t="s">
        <v>44</v>
      </c>
      <c r="M355" s="10" t="s">
        <v>168</v>
      </c>
    </row>
    <row r="356" spans="1:13" x14ac:dyDescent="0.3">
      <c r="A356" s="7" t="s">
        <v>94</v>
      </c>
      <c r="B356" s="8">
        <v>45304</v>
      </c>
      <c r="C356" s="7" t="s">
        <v>95</v>
      </c>
      <c r="D356" s="7" t="s">
        <v>65</v>
      </c>
      <c r="E356" s="7" t="s">
        <v>40</v>
      </c>
      <c r="F356" s="7" t="s">
        <v>57</v>
      </c>
      <c r="G356" s="7" t="s">
        <v>42</v>
      </c>
      <c r="H356" s="7" t="s">
        <v>71</v>
      </c>
      <c r="I356" s="7">
        <v>20</v>
      </c>
      <c r="J356" s="9">
        <v>28000</v>
      </c>
      <c r="K356" s="7">
        <v>10</v>
      </c>
      <c r="L356" s="7" t="s">
        <v>51</v>
      </c>
      <c r="M356" s="7" t="s">
        <v>96</v>
      </c>
    </row>
    <row r="357" spans="1:13" x14ac:dyDescent="0.3">
      <c r="A357" s="10" t="s">
        <v>797</v>
      </c>
      <c r="B357" s="11">
        <v>45375</v>
      </c>
      <c r="C357" s="10" t="s">
        <v>798</v>
      </c>
      <c r="D357" s="10" t="s">
        <v>141</v>
      </c>
      <c r="E357" s="10" t="s">
        <v>56</v>
      </c>
      <c r="F357" s="10" t="s">
        <v>50</v>
      </c>
      <c r="G357" s="10" t="s">
        <v>42</v>
      </c>
      <c r="H357" s="10" t="s">
        <v>43</v>
      </c>
      <c r="I357" s="10">
        <v>5</v>
      </c>
      <c r="J357" s="12">
        <v>18000</v>
      </c>
      <c r="K357" s="10">
        <v>5</v>
      </c>
      <c r="L357" s="10" t="s">
        <v>51</v>
      </c>
      <c r="M357" s="10" t="s">
        <v>52</v>
      </c>
    </row>
    <row r="358" spans="1:13" x14ac:dyDescent="0.3">
      <c r="A358" s="7" t="s">
        <v>799</v>
      </c>
      <c r="B358" s="8">
        <v>45471</v>
      </c>
      <c r="C358" s="7" t="s">
        <v>800</v>
      </c>
      <c r="D358" s="7" t="s">
        <v>141</v>
      </c>
      <c r="E358" s="7" t="s">
        <v>40</v>
      </c>
      <c r="F358" s="7" t="s">
        <v>92</v>
      </c>
      <c r="G358" s="7" t="s">
        <v>77</v>
      </c>
      <c r="H358" s="7" t="s">
        <v>66</v>
      </c>
      <c r="I358" s="7">
        <v>20</v>
      </c>
      <c r="J358" s="9">
        <v>450000</v>
      </c>
      <c r="K358" s="7">
        <v>10</v>
      </c>
      <c r="L358" s="7" t="s">
        <v>51</v>
      </c>
      <c r="M358" s="7" t="s">
        <v>168</v>
      </c>
    </row>
    <row r="359" spans="1:13" x14ac:dyDescent="0.3">
      <c r="A359" s="10" t="s">
        <v>286</v>
      </c>
      <c r="B359" s="11">
        <v>45552</v>
      </c>
      <c r="C359" s="10" t="s">
        <v>287</v>
      </c>
      <c r="D359" s="10" t="s">
        <v>65</v>
      </c>
      <c r="E359" s="10" t="s">
        <v>49</v>
      </c>
      <c r="F359" s="10" t="s">
        <v>82</v>
      </c>
      <c r="G359" s="10" t="s">
        <v>77</v>
      </c>
      <c r="H359" s="10" t="s">
        <v>66</v>
      </c>
      <c r="I359" s="10">
        <v>15</v>
      </c>
      <c r="J359" s="12">
        <v>220000</v>
      </c>
      <c r="K359" s="10">
        <v>10</v>
      </c>
      <c r="L359" s="10" t="s">
        <v>51</v>
      </c>
      <c r="M359" s="10" t="s">
        <v>103</v>
      </c>
    </row>
    <row r="360" spans="1:13" x14ac:dyDescent="0.3">
      <c r="A360" s="7" t="s">
        <v>801</v>
      </c>
      <c r="B360" s="8">
        <v>45629</v>
      </c>
      <c r="C360" s="7" t="s">
        <v>802</v>
      </c>
      <c r="D360" s="7" t="s">
        <v>118</v>
      </c>
      <c r="E360" s="7" t="s">
        <v>40</v>
      </c>
      <c r="F360" s="7" t="s">
        <v>82</v>
      </c>
      <c r="G360" s="7" t="s">
        <v>77</v>
      </c>
      <c r="H360" s="7" t="s">
        <v>66</v>
      </c>
      <c r="I360" s="7">
        <v>19</v>
      </c>
      <c r="J360" s="9">
        <v>220000</v>
      </c>
      <c r="K360" s="7">
        <v>0</v>
      </c>
      <c r="L360" s="7" t="s">
        <v>86</v>
      </c>
      <c r="M360" s="7" t="s">
        <v>103</v>
      </c>
    </row>
    <row r="361" spans="1:13" x14ac:dyDescent="0.3">
      <c r="A361" s="10" t="s">
        <v>200</v>
      </c>
      <c r="B361" s="11">
        <v>45295</v>
      </c>
      <c r="C361" s="10" t="s">
        <v>201</v>
      </c>
      <c r="D361" s="10" t="s">
        <v>39</v>
      </c>
      <c r="E361" s="10" t="s">
        <v>70</v>
      </c>
      <c r="F361" s="10" t="s">
        <v>92</v>
      </c>
      <c r="G361" s="10" t="s">
        <v>77</v>
      </c>
      <c r="H361" s="10" t="s">
        <v>71</v>
      </c>
      <c r="I361" s="10">
        <v>14</v>
      </c>
      <c r="J361" s="12">
        <v>450000</v>
      </c>
      <c r="K361" s="10">
        <v>0</v>
      </c>
      <c r="L361" s="10" t="s">
        <v>86</v>
      </c>
      <c r="M361" s="10" t="s">
        <v>93</v>
      </c>
    </row>
    <row r="362" spans="1:13" x14ac:dyDescent="0.3">
      <c r="A362" s="7" t="s">
        <v>803</v>
      </c>
      <c r="B362" s="8">
        <v>45587</v>
      </c>
      <c r="C362" s="7" t="s">
        <v>804</v>
      </c>
      <c r="D362" s="7" t="s">
        <v>48</v>
      </c>
      <c r="E362" s="7" t="s">
        <v>237</v>
      </c>
      <c r="F362" s="7" t="s">
        <v>50</v>
      </c>
      <c r="G362" s="7" t="s">
        <v>42</v>
      </c>
      <c r="H362" s="7" t="s">
        <v>137</v>
      </c>
      <c r="I362" s="7">
        <v>3</v>
      </c>
      <c r="J362" s="9">
        <v>18000</v>
      </c>
      <c r="K362" s="7"/>
      <c r="L362" s="7" t="s">
        <v>239</v>
      </c>
      <c r="M362" s="7" t="s">
        <v>296</v>
      </c>
    </row>
    <row r="363" spans="1:13" x14ac:dyDescent="0.3">
      <c r="A363" s="10" t="s">
        <v>805</v>
      </c>
      <c r="B363" s="11">
        <v>45537</v>
      </c>
      <c r="C363" s="10" t="s">
        <v>806</v>
      </c>
      <c r="D363" s="10" t="s">
        <v>39</v>
      </c>
      <c r="E363" s="10" t="s">
        <v>40</v>
      </c>
      <c r="F363" s="10" t="s">
        <v>82</v>
      </c>
      <c r="G363" s="10" t="s">
        <v>77</v>
      </c>
      <c r="H363" s="10" t="s">
        <v>71</v>
      </c>
      <c r="I363" s="10">
        <v>6</v>
      </c>
      <c r="J363" s="12">
        <v>220000</v>
      </c>
      <c r="K363" s="10">
        <v>0</v>
      </c>
      <c r="L363" s="10" t="s">
        <v>51</v>
      </c>
      <c r="M363" s="10" t="s">
        <v>83</v>
      </c>
    </row>
    <row r="364" spans="1:13" x14ac:dyDescent="0.3">
      <c r="A364" s="7" t="s">
        <v>807</v>
      </c>
      <c r="B364" s="8">
        <v>45638</v>
      </c>
      <c r="C364" s="7" t="s">
        <v>570</v>
      </c>
      <c r="D364" s="7" t="s">
        <v>109</v>
      </c>
      <c r="E364" s="7" t="s">
        <v>49</v>
      </c>
      <c r="F364" s="7" t="s">
        <v>82</v>
      </c>
      <c r="G364" s="7" t="s">
        <v>77</v>
      </c>
      <c r="H364" s="7" t="s">
        <v>43</v>
      </c>
      <c r="I364" s="7">
        <v>20</v>
      </c>
      <c r="J364" s="9">
        <v>220000</v>
      </c>
      <c r="K364" s="7">
        <v>5</v>
      </c>
      <c r="L364" s="7" t="s">
        <v>51</v>
      </c>
      <c r="M364" s="7" t="s">
        <v>204</v>
      </c>
    </row>
    <row r="365" spans="1:13" x14ac:dyDescent="0.3">
      <c r="A365" s="10" t="s">
        <v>808</v>
      </c>
      <c r="B365" s="11">
        <v>45645</v>
      </c>
      <c r="C365" s="10" t="s">
        <v>809</v>
      </c>
      <c r="D365" s="10" t="s">
        <v>39</v>
      </c>
      <c r="E365" s="10" t="s">
        <v>40</v>
      </c>
      <c r="F365" s="10" t="s">
        <v>92</v>
      </c>
      <c r="G365" s="10" t="s">
        <v>77</v>
      </c>
      <c r="H365" s="10" t="s">
        <v>66</v>
      </c>
      <c r="I365" s="10">
        <v>15</v>
      </c>
      <c r="J365" s="12">
        <v>450000</v>
      </c>
      <c r="K365" s="10">
        <v>5</v>
      </c>
      <c r="L365" s="10" t="s">
        <v>51</v>
      </c>
      <c r="M365" s="10" t="s">
        <v>168</v>
      </c>
    </row>
    <row r="366" spans="1:13" x14ac:dyDescent="0.3">
      <c r="A366" s="7" t="s">
        <v>810</v>
      </c>
      <c r="B366" s="8">
        <v>45334</v>
      </c>
      <c r="C366" s="7" t="s">
        <v>811</v>
      </c>
      <c r="D366" s="7" t="s">
        <v>65</v>
      </c>
      <c r="E366" s="7" t="s">
        <v>40</v>
      </c>
      <c r="F366" s="7" t="s">
        <v>92</v>
      </c>
      <c r="G366" s="7" t="s">
        <v>77</v>
      </c>
      <c r="H366" s="7" t="s">
        <v>43</v>
      </c>
      <c r="I366" s="7">
        <v>12</v>
      </c>
      <c r="J366" s="9">
        <v>450000</v>
      </c>
      <c r="K366" s="7">
        <v>0</v>
      </c>
      <c r="L366" s="7" t="s">
        <v>51</v>
      </c>
      <c r="M366" s="7" t="s">
        <v>106</v>
      </c>
    </row>
    <row r="367" spans="1:13" x14ac:dyDescent="0.3">
      <c r="A367" s="10" t="s">
        <v>178</v>
      </c>
      <c r="B367" s="11">
        <v>45360</v>
      </c>
      <c r="C367" s="10" t="s">
        <v>179</v>
      </c>
      <c r="D367" s="10" t="s">
        <v>75</v>
      </c>
      <c r="E367" s="10" t="s">
        <v>70</v>
      </c>
      <c r="F367" s="10" t="s">
        <v>41</v>
      </c>
      <c r="G367" s="10" t="s">
        <v>42</v>
      </c>
      <c r="H367" s="10" t="s">
        <v>66</v>
      </c>
      <c r="I367" s="10">
        <v>5</v>
      </c>
      <c r="J367" s="12">
        <v>35000</v>
      </c>
      <c r="K367" s="10">
        <v>5</v>
      </c>
      <c r="L367" s="10" t="s">
        <v>51</v>
      </c>
      <c r="M367" s="10" t="s">
        <v>180</v>
      </c>
    </row>
    <row r="368" spans="1:13" x14ac:dyDescent="0.3">
      <c r="A368" s="7" t="s">
        <v>812</v>
      </c>
      <c r="B368" s="8">
        <v>45605</v>
      </c>
      <c r="C368" s="7" t="s">
        <v>813</v>
      </c>
      <c r="D368" s="7" t="s">
        <v>141</v>
      </c>
      <c r="E368" s="7" t="s">
        <v>40</v>
      </c>
      <c r="F368" s="7" t="s">
        <v>41</v>
      </c>
      <c r="G368" s="7" t="s">
        <v>42</v>
      </c>
      <c r="H368" s="7" t="s">
        <v>563</v>
      </c>
      <c r="I368" s="7">
        <v>11</v>
      </c>
      <c r="J368" s="9">
        <v>35000</v>
      </c>
      <c r="K368" s="7">
        <v>0</v>
      </c>
      <c r="L368" s="7" t="s">
        <v>174</v>
      </c>
      <c r="M368" s="7" t="s">
        <v>814</v>
      </c>
    </row>
    <row r="369" spans="1:13" x14ac:dyDescent="0.3">
      <c r="A369" s="10" t="s">
        <v>815</v>
      </c>
      <c r="B369" s="11">
        <v>45568</v>
      </c>
      <c r="C369" s="10" t="s">
        <v>816</v>
      </c>
      <c r="D369" s="10" t="s">
        <v>81</v>
      </c>
      <c r="E369" s="10" t="s">
        <v>56</v>
      </c>
      <c r="F369" s="10" t="s">
        <v>82</v>
      </c>
      <c r="G369" s="10" t="s">
        <v>77</v>
      </c>
      <c r="H369" s="10" t="s">
        <v>71</v>
      </c>
      <c r="I369" s="10">
        <v>14</v>
      </c>
      <c r="J369" s="12">
        <v>220000</v>
      </c>
      <c r="K369" s="10">
        <v>20</v>
      </c>
      <c r="L369" s="10" t="s">
        <v>51</v>
      </c>
      <c r="M369" s="10" t="s">
        <v>83</v>
      </c>
    </row>
    <row r="370" spans="1:13" x14ac:dyDescent="0.3">
      <c r="A370" s="7" t="s">
        <v>817</v>
      </c>
      <c r="B370" s="8">
        <v>45609</v>
      </c>
      <c r="C370" s="7" t="s">
        <v>818</v>
      </c>
      <c r="D370" s="7" t="s">
        <v>81</v>
      </c>
      <c r="E370" s="7" t="s">
        <v>49</v>
      </c>
      <c r="F370" s="7" t="s">
        <v>76</v>
      </c>
      <c r="G370" s="7" t="s">
        <v>77</v>
      </c>
      <c r="H370" s="7" t="s">
        <v>66</v>
      </c>
      <c r="I370" s="7">
        <v>10</v>
      </c>
      <c r="J370" s="9">
        <v>180000</v>
      </c>
      <c r="K370" s="7">
        <v>10</v>
      </c>
      <c r="L370" s="7" t="s">
        <v>51</v>
      </c>
      <c r="M370" s="7" t="s">
        <v>78</v>
      </c>
    </row>
    <row r="371" spans="1:13" x14ac:dyDescent="0.3">
      <c r="A371" s="10" t="s">
        <v>819</v>
      </c>
      <c r="B371" s="11">
        <v>45397</v>
      </c>
      <c r="C371" s="10" t="s">
        <v>767</v>
      </c>
      <c r="D371" s="10" t="s">
        <v>39</v>
      </c>
      <c r="E371" s="10" t="s">
        <v>195</v>
      </c>
      <c r="F371" s="10" t="s">
        <v>57</v>
      </c>
      <c r="G371" s="10" t="s">
        <v>42</v>
      </c>
      <c r="H371" s="10" t="s">
        <v>563</v>
      </c>
      <c r="I371" s="10">
        <v>19</v>
      </c>
      <c r="J371" s="12">
        <v>28000</v>
      </c>
      <c r="K371" s="10">
        <v>0</v>
      </c>
      <c r="L371" s="10" t="s">
        <v>164</v>
      </c>
      <c r="M371" s="10" t="s">
        <v>820</v>
      </c>
    </row>
    <row r="372" spans="1:13" x14ac:dyDescent="0.3">
      <c r="A372" s="7" t="s">
        <v>821</v>
      </c>
      <c r="B372" s="8">
        <v>45532</v>
      </c>
      <c r="C372" s="7" t="s">
        <v>822</v>
      </c>
      <c r="D372" s="7" t="s">
        <v>48</v>
      </c>
      <c r="E372" s="7" t="s">
        <v>40</v>
      </c>
      <c r="F372" s="7" t="s">
        <v>92</v>
      </c>
      <c r="G372" s="7" t="s">
        <v>77</v>
      </c>
      <c r="H372" s="7" t="s">
        <v>43</v>
      </c>
      <c r="I372" s="7">
        <v>9</v>
      </c>
      <c r="J372" s="9">
        <v>450000</v>
      </c>
      <c r="K372" s="7">
        <v>20</v>
      </c>
      <c r="L372" s="7" t="s">
        <v>131</v>
      </c>
      <c r="M372" s="7" t="s">
        <v>106</v>
      </c>
    </row>
    <row r="373" spans="1:13" x14ac:dyDescent="0.3">
      <c r="A373" s="10" t="s">
        <v>823</v>
      </c>
      <c r="B373" s="11">
        <v>45642</v>
      </c>
      <c r="C373" s="10" t="s">
        <v>391</v>
      </c>
      <c r="D373" s="10" t="s">
        <v>141</v>
      </c>
      <c r="E373" s="10" t="s">
        <v>70</v>
      </c>
      <c r="F373" s="10" t="s">
        <v>99</v>
      </c>
      <c r="G373" s="10" t="s">
        <v>77</v>
      </c>
      <c r="H373" s="10" t="s">
        <v>66</v>
      </c>
      <c r="I373" s="10">
        <v>7</v>
      </c>
      <c r="J373" s="12">
        <v>95000</v>
      </c>
      <c r="K373" s="10">
        <v>0</v>
      </c>
      <c r="L373" s="10" t="s">
        <v>51</v>
      </c>
      <c r="M373" s="10" t="s">
        <v>232</v>
      </c>
    </row>
    <row r="374" spans="1:13" x14ac:dyDescent="0.3">
      <c r="A374" s="7" t="s">
        <v>824</v>
      </c>
      <c r="B374" s="8">
        <v>45558</v>
      </c>
      <c r="C374" s="7" t="s">
        <v>117</v>
      </c>
      <c r="D374" s="7" t="s">
        <v>75</v>
      </c>
      <c r="E374" s="7" t="s">
        <v>70</v>
      </c>
      <c r="F374" s="7" t="s">
        <v>41</v>
      </c>
      <c r="G374" s="7" t="s">
        <v>42</v>
      </c>
      <c r="H374" s="7" t="s">
        <v>66</v>
      </c>
      <c r="I374" s="7">
        <v>17</v>
      </c>
      <c r="J374" s="9">
        <v>35000</v>
      </c>
      <c r="K374" s="7">
        <v>5</v>
      </c>
      <c r="L374" s="7" t="s">
        <v>51</v>
      </c>
      <c r="M374" s="7" t="s">
        <v>180</v>
      </c>
    </row>
    <row r="375" spans="1:13" x14ac:dyDescent="0.3">
      <c r="A375" s="10" t="s">
        <v>825</v>
      </c>
      <c r="B375" s="11">
        <v>45369</v>
      </c>
      <c r="C375" s="10" t="s">
        <v>826</v>
      </c>
      <c r="D375" s="10" t="s">
        <v>118</v>
      </c>
      <c r="E375" s="10" t="s">
        <v>49</v>
      </c>
      <c r="F375" s="10" t="s">
        <v>76</v>
      </c>
      <c r="G375" s="10" t="s">
        <v>77</v>
      </c>
      <c r="H375" s="10" t="s">
        <v>43</v>
      </c>
      <c r="I375" s="10">
        <v>5</v>
      </c>
      <c r="J375" s="12">
        <v>180000</v>
      </c>
      <c r="K375" s="10">
        <v>0</v>
      </c>
      <c r="L375" s="10" t="s">
        <v>44</v>
      </c>
      <c r="M375" s="10" t="s">
        <v>221</v>
      </c>
    </row>
    <row r="376" spans="1:13" x14ac:dyDescent="0.3">
      <c r="A376" s="7" t="s">
        <v>827</v>
      </c>
      <c r="B376" s="8">
        <v>45497</v>
      </c>
      <c r="C376" s="7" t="s">
        <v>826</v>
      </c>
      <c r="D376" s="7" t="s">
        <v>48</v>
      </c>
      <c r="E376" s="7" t="s">
        <v>56</v>
      </c>
      <c r="F376" s="7" t="s">
        <v>61</v>
      </c>
      <c r="G376" s="7" t="s">
        <v>42</v>
      </c>
      <c r="H376" s="7" t="s">
        <v>66</v>
      </c>
      <c r="I376" s="7">
        <v>10</v>
      </c>
      <c r="J376" s="9">
        <v>22000</v>
      </c>
      <c r="K376" s="7">
        <v>15</v>
      </c>
      <c r="L376" s="7" t="s">
        <v>51</v>
      </c>
      <c r="M376" s="7" t="s">
        <v>87</v>
      </c>
    </row>
    <row r="377" spans="1:13" x14ac:dyDescent="0.3">
      <c r="A377" s="10" t="s">
        <v>828</v>
      </c>
      <c r="B377" s="11">
        <v>45418</v>
      </c>
      <c r="C377" s="10" t="s">
        <v>829</v>
      </c>
      <c r="D377" s="10" t="s">
        <v>109</v>
      </c>
      <c r="E377" s="10" t="s">
        <v>49</v>
      </c>
      <c r="F377" s="10" t="s">
        <v>76</v>
      </c>
      <c r="G377" s="10" t="s">
        <v>77</v>
      </c>
      <c r="H377" s="10" t="s">
        <v>71</v>
      </c>
      <c r="I377" s="10">
        <v>17</v>
      </c>
      <c r="J377" s="12">
        <v>180000</v>
      </c>
      <c r="K377" s="10">
        <v>0</v>
      </c>
      <c r="L377" s="10" t="s">
        <v>51</v>
      </c>
      <c r="M377" s="10" t="s">
        <v>142</v>
      </c>
    </row>
    <row r="378" spans="1:13" x14ac:dyDescent="0.3">
      <c r="A378" s="7" t="s">
        <v>830</v>
      </c>
      <c r="B378" s="8">
        <v>46035</v>
      </c>
      <c r="C378" s="7" t="s">
        <v>831</v>
      </c>
      <c r="D378" s="7" t="s">
        <v>141</v>
      </c>
      <c r="E378" s="7" t="s">
        <v>49</v>
      </c>
      <c r="F378" s="7" t="s">
        <v>41</v>
      </c>
      <c r="G378" s="7" t="s">
        <v>42</v>
      </c>
      <c r="H378" s="7" t="s">
        <v>66</v>
      </c>
      <c r="I378" s="7">
        <v>17</v>
      </c>
      <c r="J378" s="9">
        <v>35000</v>
      </c>
      <c r="K378" s="7">
        <v>5</v>
      </c>
      <c r="L378" s="7" t="s">
        <v>51</v>
      </c>
      <c r="M378" s="7" t="s">
        <v>180</v>
      </c>
    </row>
    <row r="379" spans="1:13" x14ac:dyDescent="0.3">
      <c r="A379" s="10" t="s">
        <v>832</v>
      </c>
      <c r="B379" s="11">
        <v>45546</v>
      </c>
      <c r="C379" s="10" t="s">
        <v>833</v>
      </c>
      <c r="D379" s="10" t="s">
        <v>154</v>
      </c>
      <c r="E379" s="10" t="s">
        <v>49</v>
      </c>
      <c r="F379" s="10" t="s">
        <v>99</v>
      </c>
      <c r="G379" s="10" t="s">
        <v>77</v>
      </c>
      <c r="H379" s="10" t="s">
        <v>71</v>
      </c>
      <c r="I379" s="10">
        <v>6</v>
      </c>
      <c r="J379" s="12">
        <v>95000</v>
      </c>
      <c r="K379" s="10">
        <v>5</v>
      </c>
      <c r="L379" s="10" t="s">
        <v>86</v>
      </c>
      <c r="M379" s="10" t="s">
        <v>100</v>
      </c>
    </row>
    <row r="380" spans="1:13" x14ac:dyDescent="0.3">
      <c r="A380" s="7" t="s">
        <v>443</v>
      </c>
      <c r="B380" s="8">
        <v>45393</v>
      </c>
      <c r="C380" s="7" t="s">
        <v>444</v>
      </c>
      <c r="D380" s="7" t="s">
        <v>118</v>
      </c>
      <c r="E380" s="7" t="s">
        <v>49</v>
      </c>
      <c r="F380" s="7" t="s">
        <v>57</v>
      </c>
      <c r="G380" s="7" t="s">
        <v>42</v>
      </c>
      <c r="H380" s="7" t="s">
        <v>66</v>
      </c>
      <c r="I380" s="7">
        <v>8</v>
      </c>
      <c r="J380" s="9">
        <v>28000</v>
      </c>
      <c r="K380" s="7">
        <v>0</v>
      </c>
      <c r="L380" s="7" t="s">
        <v>51</v>
      </c>
      <c r="M380" s="7" t="s">
        <v>67</v>
      </c>
    </row>
    <row r="381" spans="1:13" x14ac:dyDescent="0.3">
      <c r="A381" s="10" t="s">
        <v>722</v>
      </c>
      <c r="B381" s="11">
        <v>45482</v>
      </c>
      <c r="C381" s="10" t="s">
        <v>723</v>
      </c>
      <c r="D381" s="10" t="s">
        <v>154</v>
      </c>
      <c r="E381" s="10" t="s">
        <v>40</v>
      </c>
      <c r="F381" s="10" t="s">
        <v>41</v>
      </c>
      <c r="G381" s="10" t="s">
        <v>42</v>
      </c>
      <c r="H381" s="10" t="s">
        <v>43</v>
      </c>
      <c r="I381" s="10">
        <v>9</v>
      </c>
      <c r="J381" s="12">
        <v>35000</v>
      </c>
      <c r="K381" s="10">
        <v>20</v>
      </c>
      <c r="L381" s="10" t="s">
        <v>51</v>
      </c>
      <c r="M381" s="10" t="s">
        <v>45</v>
      </c>
    </row>
    <row r="382" spans="1:13" x14ac:dyDescent="0.3">
      <c r="A382" s="7" t="s">
        <v>834</v>
      </c>
      <c r="B382" s="8">
        <v>45653</v>
      </c>
      <c r="C382" s="7" t="s">
        <v>835</v>
      </c>
      <c r="D382" s="7" t="s">
        <v>118</v>
      </c>
      <c r="E382" s="7" t="s">
        <v>70</v>
      </c>
      <c r="F382" s="7" t="s">
        <v>61</v>
      </c>
      <c r="G382" s="7" t="s">
        <v>42</v>
      </c>
      <c r="H382" s="7" t="s">
        <v>71</v>
      </c>
      <c r="I382" s="7">
        <v>16</v>
      </c>
      <c r="J382" s="9">
        <v>22000</v>
      </c>
      <c r="K382" s="7">
        <v>5</v>
      </c>
      <c r="L382" s="7" t="s">
        <v>51</v>
      </c>
      <c r="M382" s="7" t="s">
        <v>115</v>
      </c>
    </row>
    <row r="383" spans="1:13" x14ac:dyDescent="0.3">
      <c r="A383" s="10" t="s">
        <v>836</v>
      </c>
      <c r="B383" s="11">
        <v>45339</v>
      </c>
      <c r="C383" s="10" t="s">
        <v>837</v>
      </c>
      <c r="D383" s="10" t="s">
        <v>48</v>
      </c>
      <c r="E383" s="10" t="s">
        <v>40</v>
      </c>
      <c r="F383" s="10" t="s">
        <v>41</v>
      </c>
      <c r="G383" s="10" t="s">
        <v>42</v>
      </c>
      <c r="H383" s="10" t="s">
        <v>66</v>
      </c>
      <c r="I383" s="10">
        <v>17</v>
      </c>
      <c r="J383" s="12">
        <v>35000</v>
      </c>
      <c r="K383" s="10">
        <v>15</v>
      </c>
      <c r="L383" s="10" t="s">
        <v>51</v>
      </c>
      <c r="M383" s="10" t="s">
        <v>180</v>
      </c>
    </row>
    <row r="384" spans="1:13" x14ac:dyDescent="0.3">
      <c r="A384" s="7" t="s">
        <v>838</v>
      </c>
      <c r="B384" s="8">
        <v>45617</v>
      </c>
      <c r="C384" s="7" t="s">
        <v>839</v>
      </c>
      <c r="D384" s="7" t="s">
        <v>109</v>
      </c>
      <c r="E384" s="7" t="s">
        <v>70</v>
      </c>
      <c r="F384" s="7" t="s">
        <v>82</v>
      </c>
      <c r="G384" s="7" t="s">
        <v>77</v>
      </c>
      <c r="H384" s="7" t="s">
        <v>66</v>
      </c>
      <c r="I384" s="7">
        <v>12</v>
      </c>
      <c r="J384" s="9">
        <v>220000</v>
      </c>
      <c r="K384" s="7">
        <v>15</v>
      </c>
      <c r="L384" s="7" t="s">
        <v>51</v>
      </c>
      <c r="M384" s="7" t="s">
        <v>103</v>
      </c>
    </row>
    <row r="385" spans="1:13" x14ac:dyDescent="0.3">
      <c r="A385" s="10" t="s">
        <v>840</v>
      </c>
      <c r="B385" s="11">
        <v>45407</v>
      </c>
      <c r="C385" s="10" t="s">
        <v>841</v>
      </c>
      <c r="D385" s="10" t="s">
        <v>109</v>
      </c>
      <c r="E385" s="10" t="s">
        <v>49</v>
      </c>
      <c r="F385" s="10" t="s">
        <v>41</v>
      </c>
      <c r="G385" s="10" t="s">
        <v>42</v>
      </c>
      <c r="H385" s="10" t="s">
        <v>71</v>
      </c>
      <c r="I385" s="10">
        <v>7</v>
      </c>
      <c r="J385" s="12">
        <v>35000</v>
      </c>
      <c r="K385" s="10">
        <v>0</v>
      </c>
      <c r="L385" s="10" t="s">
        <v>51</v>
      </c>
      <c r="M385" s="10" t="s">
        <v>344</v>
      </c>
    </row>
    <row r="386" spans="1:13" x14ac:dyDescent="0.3">
      <c r="A386" s="7" t="s">
        <v>842</v>
      </c>
      <c r="B386" s="8">
        <v>45643</v>
      </c>
      <c r="C386" s="7" t="s">
        <v>843</v>
      </c>
      <c r="D386" s="7" t="s">
        <v>141</v>
      </c>
      <c r="E386" s="7" t="s">
        <v>40</v>
      </c>
      <c r="F386" s="7" t="s">
        <v>92</v>
      </c>
      <c r="G386" s="7" t="s">
        <v>77</v>
      </c>
      <c r="H386" s="7" t="s">
        <v>71</v>
      </c>
      <c r="I386" s="7">
        <v>6</v>
      </c>
      <c r="J386" s="9">
        <v>450000</v>
      </c>
      <c r="K386" s="7">
        <v>20</v>
      </c>
      <c r="L386" s="7" t="s">
        <v>44</v>
      </c>
      <c r="M386" s="7" t="s">
        <v>93</v>
      </c>
    </row>
    <row r="387" spans="1:13" x14ac:dyDescent="0.3">
      <c r="A387" s="10" t="s">
        <v>844</v>
      </c>
      <c r="B387" s="11">
        <v>45506</v>
      </c>
      <c r="C387" s="10" t="s">
        <v>845</v>
      </c>
      <c r="D387" s="10" t="s">
        <v>75</v>
      </c>
      <c r="E387" s="10" t="s">
        <v>40</v>
      </c>
      <c r="F387" s="10" t="s">
        <v>50</v>
      </c>
      <c r="G387" s="10" t="s">
        <v>42</v>
      </c>
      <c r="H387" s="10" t="s">
        <v>66</v>
      </c>
      <c r="I387" s="10">
        <v>5</v>
      </c>
      <c r="J387" s="12">
        <v>18000</v>
      </c>
      <c r="K387" s="10"/>
      <c r="L387" s="10" t="s">
        <v>131</v>
      </c>
      <c r="M387" s="10" t="s">
        <v>123</v>
      </c>
    </row>
    <row r="388" spans="1:13" x14ac:dyDescent="0.3">
      <c r="A388" s="7" t="s">
        <v>846</v>
      </c>
      <c r="B388" s="8">
        <v>45546</v>
      </c>
      <c r="C388" s="7" t="s">
        <v>847</v>
      </c>
      <c r="D388" s="7" t="s">
        <v>39</v>
      </c>
      <c r="E388" s="7" t="s">
        <v>207</v>
      </c>
      <c r="F388" s="7" t="s">
        <v>82</v>
      </c>
      <c r="G388" s="7" t="s">
        <v>77</v>
      </c>
      <c r="H388" s="7" t="s">
        <v>43</v>
      </c>
      <c r="I388" s="7">
        <v>2</v>
      </c>
      <c r="J388" s="9">
        <v>220000</v>
      </c>
      <c r="K388" s="7">
        <v>0</v>
      </c>
      <c r="L388" s="7" t="s">
        <v>164</v>
      </c>
      <c r="M388" s="7" t="s">
        <v>204</v>
      </c>
    </row>
    <row r="389" spans="1:13" x14ac:dyDescent="0.3">
      <c r="A389" s="10" t="s">
        <v>848</v>
      </c>
      <c r="B389" s="11">
        <v>45610</v>
      </c>
      <c r="C389" s="10" t="s">
        <v>849</v>
      </c>
      <c r="D389" s="10" t="s">
        <v>154</v>
      </c>
      <c r="E389" s="10" t="s">
        <v>40</v>
      </c>
      <c r="F389" s="10" t="s">
        <v>76</v>
      </c>
      <c r="G389" s="10" t="s">
        <v>77</v>
      </c>
      <c r="H389" s="10" t="s">
        <v>71</v>
      </c>
      <c r="I389" s="10">
        <v>20</v>
      </c>
      <c r="J389" s="12">
        <v>180000</v>
      </c>
      <c r="K389" s="10">
        <v>5</v>
      </c>
      <c r="L389" s="10" t="s">
        <v>51</v>
      </c>
      <c r="M389" s="10" t="s">
        <v>142</v>
      </c>
    </row>
    <row r="390" spans="1:13" x14ac:dyDescent="0.3">
      <c r="A390" s="7" t="s">
        <v>850</v>
      </c>
      <c r="B390" s="8">
        <v>45348</v>
      </c>
      <c r="C390" s="7" t="s">
        <v>851</v>
      </c>
      <c r="D390" s="7" t="s">
        <v>118</v>
      </c>
      <c r="E390" s="7" t="s">
        <v>70</v>
      </c>
      <c r="F390" s="7" t="s">
        <v>50</v>
      </c>
      <c r="G390" s="7" t="s">
        <v>42</v>
      </c>
      <c r="H390" s="7" t="s">
        <v>66</v>
      </c>
      <c r="I390" s="7">
        <v>4</v>
      </c>
      <c r="J390" s="9">
        <v>18000</v>
      </c>
      <c r="K390" s="7">
        <v>5</v>
      </c>
      <c r="L390" s="7" t="s">
        <v>44</v>
      </c>
      <c r="M390" s="7" t="s">
        <v>123</v>
      </c>
    </row>
    <row r="391" spans="1:13" x14ac:dyDescent="0.3">
      <c r="A391" s="10" t="s">
        <v>261</v>
      </c>
      <c r="B391" s="11">
        <v>45637</v>
      </c>
      <c r="C391" s="10" t="s">
        <v>262</v>
      </c>
      <c r="D391" s="10" t="s">
        <v>109</v>
      </c>
      <c r="E391" s="10" t="s">
        <v>56</v>
      </c>
      <c r="F391" s="10" t="s">
        <v>57</v>
      </c>
      <c r="G391" s="10" t="s">
        <v>42</v>
      </c>
      <c r="H391" s="10" t="s">
        <v>71</v>
      </c>
      <c r="I391" s="10">
        <v>2</v>
      </c>
      <c r="J391" s="12">
        <v>28000</v>
      </c>
      <c r="K391" s="10">
        <v>5</v>
      </c>
      <c r="L391" s="10" t="s">
        <v>51</v>
      </c>
      <c r="M391" s="10" t="s">
        <v>96</v>
      </c>
    </row>
    <row r="392" spans="1:13" x14ac:dyDescent="0.3">
      <c r="A392" s="7" t="s">
        <v>852</v>
      </c>
      <c r="B392" s="8">
        <v>45459</v>
      </c>
      <c r="C392" s="7" t="s">
        <v>853</v>
      </c>
      <c r="D392" s="7" t="s">
        <v>81</v>
      </c>
      <c r="E392" s="7" t="s">
        <v>40</v>
      </c>
      <c r="F392" s="7" t="s">
        <v>99</v>
      </c>
      <c r="G392" s="7" t="s">
        <v>77</v>
      </c>
      <c r="H392" s="7" t="s">
        <v>71</v>
      </c>
      <c r="I392" s="7">
        <v>17</v>
      </c>
      <c r="J392" s="9">
        <v>95000</v>
      </c>
      <c r="K392" s="7">
        <v>5</v>
      </c>
      <c r="L392" s="7" t="s">
        <v>44</v>
      </c>
      <c r="M392" s="7" t="s">
        <v>100</v>
      </c>
    </row>
    <row r="393" spans="1:13" x14ac:dyDescent="0.3">
      <c r="A393" s="10" t="s">
        <v>854</v>
      </c>
      <c r="B393" s="11">
        <v>45333</v>
      </c>
      <c r="C393" s="10" t="s">
        <v>855</v>
      </c>
      <c r="D393" s="10" t="s">
        <v>48</v>
      </c>
      <c r="E393" s="10" t="s">
        <v>70</v>
      </c>
      <c r="F393" s="10" t="s">
        <v>82</v>
      </c>
      <c r="G393" s="10" t="s">
        <v>77</v>
      </c>
      <c r="H393" s="10" t="s">
        <v>71</v>
      </c>
      <c r="I393" s="10">
        <v>3</v>
      </c>
      <c r="J393" s="12">
        <v>220000</v>
      </c>
      <c r="K393" s="10">
        <v>10</v>
      </c>
      <c r="L393" s="10" t="s">
        <v>51</v>
      </c>
      <c r="M393" s="10" t="s">
        <v>83</v>
      </c>
    </row>
    <row r="394" spans="1:13" x14ac:dyDescent="0.3">
      <c r="A394" s="7" t="s">
        <v>856</v>
      </c>
      <c r="B394" s="8">
        <v>45513</v>
      </c>
      <c r="C394" s="7" t="s">
        <v>857</v>
      </c>
      <c r="D394" s="7" t="s">
        <v>48</v>
      </c>
      <c r="E394" s="7" t="s">
        <v>70</v>
      </c>
      <c r="F394" s="7" t="s">
        <v>57</v>
      </c>
      <c r="G394" s="7" t="s">
        <v>42</v>
      </c>
      <c r="H394" s="7" t="s">
        <v>71</v>
      </c>
      <c r="I394" s="7">
        <v>9</v>
      </c>
      <c r="J394" s="9">
        <v>28000</v>
      </c>
      <c r="K394" s="7">
        <v>5</v>
      </c>
      <c r="L394" s="7" t="s">
        <v>51</v>
      </c>
      <c r="M394" s="7" t="s">
        <v>96</v>
      </c>
    </row>
    <row r="395" spans="1:13" x14ac:dyDescent="0.3">
      <c r="A395" s="10" t="s">
        <v>858</v>
      </c>
      <c r="B395" s="11">
        <v>45569</v>
      </c>
      <c r="C395" s="10" t="s">
        <v>859</v>
      </c>
      <c r="D395" s="10" t="s">
        <v>154</v>
      </c>
      <c r="E395" s="10" t="s">
        <v>40</v>
      </c>
      <c r="F395" s="10" t="s">
        <v>92</v>
      </c>
      <c r="G395" s="10" t="s">
        <v>77</v>
      </c>
      <c r="H395" s="10" t="s">
        <v>71</v>
      </c>
      <c r="I395" s="10">
        <v>15</v>
      </c>
      <c r="J395" s="12">
        <v>450000</v>
      </c>
      <c r="K395" s="10">
        <v>10</v>
      </c>
      <c r="L395" s="10" t="s">
        <v>51</v>
      </c>
      <c r="M395" s="10" t="s">
        <v>93</v>
      </c>
    </row>
    <row r="396" spans="1:13" x14ac:dyDescent="0.3">
      <c r="A396" s="7" t="s">
        <v>860</v>
      </c>
      <c r="B396" s="8">
        <v>45362</v>
      </c>
      <c r="C396" s="7" t="s">
        <v>861</v>
      </c>
      <c r="D396" s="7" t="s">
        <v>39</v>
      </c>
      <c r="E396" s="7" t="s">
        <v>40</v>
      </c>
      <c r="F396" s="7" t="s">
        <v>92</v>
      </c>
      <c r="G396" s="7" t="s">
        <v>77</v>
      </c>
      <c r="H396" s="7" t="s">
        <v>66</v>
      </c>
      <c r="I396" s="7">
        <v>20</v>
      </c>
      <c r="J396" s="9">
        <v>450000</v>
      </c>
      <c r="K396" s="7">
        <v>10</v>
      </c>
      <c r="L396" s="7" t="s">
        <v>131</v>
      </c>
      <c r="M396" s="7" t="s">
        <v>168</v>
      </c>
    </row>
    <row r="397" spans="1:13" x14ac:dyDescent="0.3">
      <c r="A397" s="10" t="s">
        <v>862</v>
      </c>
      <c r="B397" s="11">
        <v>45357</v>
      </c>
      <c r="C397" s="10" t="s">
        <v>863</v>
      </c>
      <c r="D397" s="10" t="s">
        <v>55</v>
      </c>
      <c r="E397" s="10" t="s">
        <v>40</v>
      </c>
      <c r="F397" s="10" t="s">
        <v>61</v>
      </c>
      <c r="G397" s="10" t="s">
        <v>42</v>
      </c>
      <c r="H397" s="10" t="s">
        <v>66</v>
      </c>
      <c r="I397" s="10">
        <v>12</v>
      </c>
      <c r="J397" s="12">
        <v>22000</v>
      </c>
      <c r="K397" s="10">
        <v>20</v>
      </c>
      <c r="L397" s="10" t="s">
        <v>51</v>
      </c>
      <c r="M397" s="10" t="s">
        <v>87</v>
      </c>
    </row>
    <row r="398" spans="1:13" x14ac:dyDescent="0.3">
      <c r="A398" s="7" t="s">
        <v>864</v>
      </c>
      <c r="B398" s="8">
        <v>45372</v>
      </c>
      <c r="C398" s="7" t="s">
        <v>865</v>
      </c>
      <c r="D398" s="7" t="s">
        <v>48</v>
      </c>
      <c r="E398" s="7" t="s">
        <v>40</v>
      </c>
      <c r="F398" s="7" t="s">
        <v>82</v>
      </c>
      <c r="G398" s="7" t="s">
        <v>77</v>
      </c>
      <c r="H398" s="7" t="s">
        <v>43</v>
      </c>
      <c r="I398" s="7">
        <v>13</v>
      </c>
      <c r="J398" s="9">
        <v>220000</v>
      </c>
      <c r="K398" s="7">
        <v>20</v>
      </c>
      <c r="L398" s="7" t="s">
        <v>51</v>
      </c>
      <c r="M398" s="7" t="s">
        <v>204</v>
      </c>
    </row>
    <row r="399" spans="1:13" x14ac:dyDescent="0.3">
      <c r="A399" s="10" t="s">
        <v>187</v>
      </c>
      <c r="B399" s="11">
        <v>45360</v>
      </c>
      <c r="C399" s="10" t="s">
        <v>188</v>
      </c>
      <c r="D399" s="10" t="s">
        <v>141</v>
      </c>
      <c r="E399" s="10" t="s">
        <v>70</v>
      </c>
      <c r="F399" s="10" t="s">
        <v>61</v>
      </c>
      <c r="G399" s="10" t="s">
        <v>42</v>
      </c>
      <c r="H399" s="10" t="s">
        <v>66</v>
      </c>
      <c r="I399" s="10">
        <v>10</v>
      </c>
      <c r="J399" s="12">
        <v>22000</v>
      </c>
      <c r="K399" s="10">
        <v>0</v>
      </c>
      <c r="L399" s="10" t="s">
        <v>51</v>
      </c>
      <c r="M399" s="10" t="s">
        <v>87</v>
      </c>
    </row>
    <row r="400" spans="1:13" x14ac:dyDescent="0.3">
      <c r="A400" s="7" t="s">
        <v>655</v>
      </c>
      <c r="B400" s="8">
        <v>45526</v>
      </c>
      <c r="C400" s="7" t="s">
        <v>656</v>
      </c>
      <c r="D400" s="7" t="s">
        <v>75</v>
      </c>
      <c r="E400" s="7" t="s">
        <v>40</v>
      </c>
      <c r="F400" s="7" t="s">
        <v>61</v>
      </c>
      <c r="G400" s="7" t="s">
        <v>42</v>
      </c>
      <c r="H400" s="7" t="s">
        <v>71</v>
      </c>
      <c r="I400" s="7">
        <v>5</v>
      </c>
      <c r="J400" s="9">
        <v>22000</v>
      </c>
      <c r="K400" s="7">
        <v>20</v>
      </c>
      <c r="L400" s="7" t="s">
        <v>51</v>
      </c>
      <c r="M400" s="7" t="s">
        <v>115</v>
      </c>
    </row>
    <row r="401" spans="1:13" x14ac:dyDescent="0.3">
      <c r="A401" s="10" t="s">
        <v>866</v>
      </c>
      <c r="B401" s="11">
        <v>45319</v>
      </c>
      <c r="C401" s="10" t="s">
        <v>867</v>
      </c>
      <c r="D401" s="10" t="s">
        <v>75</v>
      </c>
      <c r="E401" s="10" t="s">
        <v>40</v>
      </c>
      <c r="F401" s="10" t="s">
        <v>92</v>
      </c>
      <c r="G401" s="10" t="s">
        <v>77</v>
      </c>
      <c r="H401" s="10" t="s">
        <v>71</v>
      </c>
      <c r="I401" s="10">
        <v>19</v>
      </c>
      <c r="J401" s="12">
        <v>450000</v>
      </c>
      <c r="K401" s="10">
        <v>15</v>
      </c>
      <c r="L401" s="10" t="s">
        <v>51</v>
      </c>
      <c r="M401" s="10" t="s">
        <v>93</v>
      </c>
    </row>
    <row r="402" spans="1:13" x14ac:dyDescent="0.3">
      <c r="A402" s="7" t="s">
        <v>868</v>
      </c>
      <c r="B402" s="8">
        <v>45456</v>
      </c>
      <c r="C402" s="7" t="s">
        <v>869</v>
      </c>
      <c r="D402" s="7" t="s">
        <v>55</v>
      </c>
      <c r="E402" s="7" t="s">
        <v>40</v>
      </c>
      <c r="F402" s="7" t="s">
        <v>92</v>
      </c>
      <c r="G402" s="7" t="s">
        <v>77</v>
      </c>
      <c r="H402" s="7" t="s">
        <v>71</v>
      </c>
      <c r="I402" s="7">
        <v>2</v>
      </c>
      <c r="J402" s="9">
        <v>450000</v>
      </c>
      <c r="K402" s="7">
        <v>5</v>
      </c>
      <c r="L402" s="7" t="s">
        <v>44</v>
      </c>
      <c r="M402" s="7" t="s">
        <v>93</v>
      </c>
    </row>
    <row r="403" spans="1:13" x14ac:dyDescent="0.3">
      <c r="A403" s="10" t="s">
        <v>870</v>
      </c>
      <c r="B403" s="11">
        <v>45540</v>
      </c>
      <c r="C403" s="10" t="s">
        <v>871</v>
      </c>
      <c r="D403" s="10" t="s">
        <v>48</v>
      </c>
      <c r="E403" s="10" t="s">
        <v>528</v>
      </c>
      <c r="F403" s="10" t="s">
        <v>659</v>
      </c>
      <c r="G403" s="10" t="s">
        <v>77</v>
      </c>
      <c r="H403" s="10" t="s">
        <v>563</v>
      </c>
      <c r="I403" s="10">
        <v>15</v>
      </c>
      <c r="J403" s="12">
        <v>450000</v>
      </c>
      <c r="K403" s="10">
        <v>20</v>
      </c>
      <c r="L403" s="10" t="s">
        <v>86</v>
      </c>
      <c r="M403" s="10" t="s">
        <v>872</v>
      </c>
    </row>
    <row r="404" spans="1:13" x14ac:dyDescent="0.3">
      <c r="A404" s="7" t="s">
        <v>873</v>
      </c>
      <c r="B404" s="8">
        <v>45299</v>
      </c>
      <c r="C404" s="7" t="s">
        <v>874</v>
      </c>
      <c r="D404" s="7" t="s">
        <v>154</v>
      </c>
      <c r="E404" s="7" t="s">
        <v>56</v>
      </c>
      <c r="F404" s="7" t="s">
        <v>76</v>
      </c>
      <c r="G404" s="7" t="s">
        <v>77</v>
      </c>
      <c r="H404" s="7" t="s">
        <v>43</v>
      </c>
      <c r="I404" s="7">
        <v>11</v>
      </c>
      <c r="J404" s="9">
        <v>180000</v>
      </c>
      <c r="K404" s="7">
        <v>20</v>
      </c>
      <c r="L404" s="7" t="s">
        <v>44</v>
      </c>
      <c r="M404" s="7" t="s">
        <v>221</v>
      </c>
    </row>
    <row r="405" spans="1:13" x14ac:dyDescent="0.3">
      <c r="A405" s="10" t="s">
        <v>875</v>
      </c>
      <c r="B405" s="11">
        <v>45353</v>
      </c>
      <c r="C405" s="10" t="s">
        <v>876</v>
      </c>
      <c r="D405" s="10" t="s">
        <v>141</v>
      </c>
      <c r="E405" s="10" t="s">
        <v>40</v>
      </c>
      <c r="F405" s="10" t="s">
        <v>50</v>
      </c>
      <c r="G405" s="10" t="s">
        <v>42</v>
      </c>
      <c r="H405" s="10" t="s">
        <v>43</v>
      </c>
      <c r="I405" s="10">
        <v>17</v>
      </c>
      <c r="J405" s="12">
        <v>18000</v>
      </c>
      <c r="K405" s="10">
        <v>15</v>
      </c>
      <c r="L405" s="10" t="s">
        <v>51</v>
      </c>
      <c r="M405" s="10" t="s">
        <v>52</v>
      </c>
    </row>
    <row r="406" spans="1:13" x14ac:dyDescent="0.3">
      <c r="A406" s="7" t="s">
        <v>727</v>
      </c>
      <c r="B406" s="8">
        <v>45646</v>
      </c>
      <c r="C406" s="7" t="s">
        <v>728</v>
      </c>
      <c r="D406" s="7" t="s">
        <v>55</v>
      </c>
      <c r="E406" s="7" t="s">
        <v>49</v>
      </c>
      <c r="F406" s="7" t="s">
        <v>41</v>
      </c>
      <c r="G406" s="7" t="s">
        <v>42</v>
      </c>
      <c r="H406" s="7" t="s">
        <v>71</v>
      </c>
      <c r="I406" s="7">
        <v>17</v>
      </c>
      <c r="J406" s="9">
        <v>35000</v>
      </c>
      <c r="K406" s="7">
        <v>15</v>
      </c>
      <c r="L406" s="7" t="s">
        <v>51</v>
      </c>
      <c r="M406" s="7" t="s">
        <v>344</v>
      </c>
    </row>
    <row r="407" spans="1:13" x14ac:dyDescent="0.3">
      <c r="A407" s="10" t="s">
        <v>877</v>
      </c>
      <c r="B407" s="11">
        <v>45489</v>
      </c>
      <c r="C407" s="10" t="s">
        <v>843</v>
      </c>
      <c r="D407" s="10" t="s">
        <v>81</v>
      </c>
      <c r="E407" s="10" t="s">
        <v>56</v>
      </c>
      <c r="F407" s="10" t="s">
        <v>57</v>
      </c>
      <c r="G407" s="10" t="s">
        <v>42</v>
      </c>
      <c r="H407" s="10" t="s">
        <v>71</v>
      </c>
      <c r="I407" s="10">
        <v>6</v>
      </c>
      <c r="J407" s="12">
        <v>28000</v>
      </c>
      <c r="K407" s="10">
        <v>5</v>
      </c>
      <c r="L407" s="10" t="s">
        <v>51</v>
      </c>
      <c r="M407" s="10" t="s">
        <v>96</v>
      </c>
    </row>
    <row r="408" spans="1:13" x14ac:dyDescent="0.3">
      <c r="A408" s="7" t="s">
        <v>878</v>
      </c>
      <c r="B408" s="8">
        <v>45560</v>
      </c>
      <c r="C408" s="7" t="s">
        <v>879</v>
      </c>
      <c r="D408" s="7" t="s">
        <v>48</v>
      </c>
      <c r="E408" s="7" t="s">
        <v>40</v>
      </c>
      <c r="F408" s="7" t="s">
        <v>99</v>
      </c>
      <c r="G408" s="7" t="s">
        <v>77</v>
      </c>
      <c r="H408" s="7" t="s">
        <v>71</v>
      </c>
      <c r="I408" s="7">
        <v>15</v>
      </c>
      <c r="J408" s="9">
        <v>95000</v>
      </c>
      <c r="K408" s="7">
        <v>0</v>
      </c>
      <c r="L408" s="7" t="s">
        <v>44</v>
      </c>
      <c r="M408" s="7" t="s">
        <v>100</v>
      </c>
    </row>
    <row r="409" spans="1:13" x14ac:dyDescent="0.3">
      <c r="A409" s="10" t="s">
        <v>311</v>
      </c>
      <c r="B409" s="11">
        <v>45336</v>
      </c>
      <c r="C409" s="10" t="s">
        <v>312</v>
      </c>
      <c r="D409" s="10" t="s">
        <v>55</v>
      </c>
      <c r="E409" s="10" t="s">
        <v>70</v>
      </c>
      <c r="F409" s="10" t="s">
        <v>41</v>
      </c>
      <c r="G409" s="10" t="s">
        <v>42</v>
      </c>
      <c r="H409" s="10" t="s">
        <v>66</v>
      </c>
      <c r="I409" s="10">
        <v>8</v>
      </c>
      <c r="J409" s="12">
        <v>35000</v>
      </c>
      <c r="K409" s="10">
        <v>0</v>
      </c>
      <c r="L409" s="10" t="s">
        <v>44</v>
      </c>
      <c r="M409" s="10" t="s">
        <v>180</v>
      </c>
    </row>
    <row r="410" spans="1:13" x14ac:dyDescent="0.3">
      <c r="A410" s="7" t="s">
        <v>665</v>
      </c>
      <c r="B410" s="8">
        <v>45359</v>
      </c>
      <c r="C410" s="7" t="s">
        <v>666</v>
      </c>
      <c r="D410" s="7" t="s">
        <v>65</v>
      </c>
      <c r="E410" s="7" t="s">
        <v>40</v>
      </c>
      <c r="F410" s="7" t="s">
        <v>76</v>
      </c>
      <c r="G410" s="7" t="s">
        <v>77</v>
      </c>
      <c r="H410" s="7" t="s">
        <v>43</v>
      </c>
      <c r="I410" s="7">
        <v>4</v>
      </c>
      <c r="J410" s="9">
        <v>180000</v>
      </c>
      <c r="K410" s="7">
        <v>0</v>
      </c>
      <c r="L410" s="7" t="s">
        <v>44</v>
      </c>
      <c r="M410" s="7" t="s">
        <v>221</v>
      </c>
    </row>
    <row r="411" spans="1:13" x14ac:dyDescent="0.3">
      <c r="A411" s="10" t="s">
        <v>880</v>
      </c>
      <c r="B411" s="11">
        <v>45376</v>
      </c>
      <c r="C411" s="10" t="s">
        <v>881</v>
      </c>
      <c r="D411" s="10" t="s">
        <v>39</v>
      </c>
      <c r="E411" s="10" t="s">
        <v>70</v>
      </c>
      <c r="F411" s="10" t="s">
        <v>99</v>
      </c>
      <c r="G411" s="10" t="s">
        <v>77</v>
      </c>
      <c r="H411" s="10" t="s">
        <v>43</v>
      </c>
      <c r="I411" s="10">
        <v>12</v>
      </c>
      <c r="J411" s="12">
        <v>95000</v>
      </c>
      <c r="K411" s="10">
        <v>5</v>
      </c>
      <c r="L411" s="10" t="s">
        <v>86</v>
      </c>
      <c r="M411" s="10" t="s">
        <v>149</v>
      </c>
    </row>
    <row r="412" spans="1:13" x14ac:dyDescent="0.3">
      <c r="A412" s="7" t="s">
        <v>882</v>
      </c>
      <c r="B412" s="8">
        <v>45460</v>
      </c>
      <c r="C412" s="7" t="s">
        <v>883</v>
      </c>
      <c r="D412" s="7" t="s">
        <v>141</v>
      </c>
      <c r="E412" s="7" t="s">
        <v>70</v>
      </c>
      <c r="F412" s="7" t="s">
        <v>61</v>
      </c>
      <c r="G412" s="7" t="s">
        <v>42</v>
      </c>
      <c r="H412" s="7" t="s">
        <v>71</v>
      </c>
      <c r="I412" s="7">
        <v>15</v>
      </c>
      <c r="J412" s="9">
        <v>22000</v>
      </c>
      <c r="K412" s="7">
        <v>20</v>
      </c>
      <c r="L412" s="7" t="s">
        <v>51</v>
      </c>
      <c r="M412" s="7" t="s">
        <v>115</v>
      </c>
    </row>
    <row r="413" spans="1:13" x14ac:dyDescent="0.3">
      <c r="A413" s="10" t="s">
        <v>884</v>
      </c>
      <c r="B413" s="11">
        <v>45531</v>
      </c>
      <c r="C413" s="10" t="s">
        <v>885</v>
      </c>
      <c r="D413" s="10" t="s">
        <v>81</v>
      </c>
      <c r="E413" s="10" t="s">
        <v>49</v>
      </c>
      <c r="F413" s="10" t="s">
        <v>57</v>
      </c>
      <c r="G413" s="10" t="s">
        <v>42</v>
      </c>
      <c r="H413" s="10" t="s">
        <v>66</v>
      </c>
      <c r="I413" s="10">
        <v>20</v>
      </c>
      <c r="J413" s="12">
        <v>28000</v>
      </c>
      <c r="K413" s="10">
        <v>15</v>
      </c>
      <c r="L413" s="10" t="s">
        <v>51</v>
      </c>
      <c r="M413" s="10" t="s">
        <v>67</v>
      </c>
    </row>
    <row r="414" spans="1:13" x14ac:dyDescent="0.3">
      <c r="A414" s="7" t="s">
        <v>886</v>
      </c>
      <c r="B414" s="8">
        <v>45640</v>
      </c>
      <c r="C414" s="7" t="s">
        <v>887</v>
      </c>
      <c r="D414" s="7" t="s">
        <v>154</v>
      </c>
      <c r="E414" s="7" t="s">
        <v>49</v>
      </c>
      <c r="F414" s="7" t="s">
        <v>82</v>
      </c>
      <c r="G414" s="7" t="s">
        <v>77</v>
      </c>
      <c r="H414" s="7" t="s">
        <v>71</v>
      </c>
      <c r="I414" s="7">
        <v>18</v>
      </c>
      <c r="J414" s="9">
        <v>220000</v>
      </c>
      <c r="K414" s="7">
        <v>10</v>
      </c>
      <c r="L414" s="7" t="s">
        <v>51</v>
      </c>
      <c r="M414" s="7" t="s">
        <v>83</v>
      </c>
    </row>
    <row r="415" spans="1:13" x14ac:dyDescent="0.3">
      <c r="A415" s="10" t="s">
        <v>888</v>
      </c>
      <c r="B415" s="11">
        <v>45402</v>
      </c>
      <c r="C415" s="10" t="s">
        <v>889</v>
      </c>
      <c r="D415" s="10" t="s">
        <v>39</v>
      </c>
      <c r="E415" s="10" t="s">
        <v>49</v>
      </c>
      <c r="F415" s="10" t="s">
        <v>61</v>
      </c>
      <c r="G415" s="10" t="s">
        <v>42</v>
      </c>
      <c r="H415" s="10" t="s">
        <v>43</v>
      </c>
      <c r="I415" s="10">
        <v>4</v>
      </c>
      <c r="J415" s="12">
        <v>22000</v>
      </c>
      <c r="K415" s="10">
        <v>5</v>
      </c>
      <c r="L415" s="10" t="s">
        <v>51</v>
      </c>
      <c r="M415" s="10" t="s">
        <v>62</v>
      </c>
    </row>
    <row r="416" spans="1:13" x14ac:dyDescent="0.3">
      <c r="A416" s="7" t="s">
        <v>890</v>
      </c>
      <c r="B416" s="8">
        <v>45373</v>
      </c>
      <c r="C416" s="7" t="s">
        <v>891</v>
      </c>
      <c r="D416" s="7" t="s">
        <v>109</v>
      </c>
      <c r="E416" s="7" t="s">
        <v>56</v>
      </c>
      <c r="F416" s="7" t="s">
        <v>92</v>
      </c>
      <c r="G416" s="7" t="s">
        <v>77</v>
      </c>
      <c r="H416" s="7" t="s">
        <v>71</v>
      </c>
      <c r="I416" s="7">
        <v>19</v>
      </c>
      <c r="J416" s="9">
        <v>450000</v>
      </c>
      <c r="K416" s="7">
        <v>10</v>
      </c>
      <c r="L416" s="7" t="s">
        <v>44</v>
      </c>
      <c r="M416" s="7" t="s">
        <v>93</v>
      </c>
    </row>
    <row r="417" spans="1:13" x14ac:dyDescent="0.3">
      <c r="A417" s="10" t="s">
        <v>892</v>
      </c>
      <c r="B417" s="11">
        <v>45451</v>
      </c>
      <c r="C417" s="10" t="s">
        <v>893</v>
      </c>
      <c r="D417" s="10" t="s">
        <v>141</v>
      </c>
      <c r="E417" s="10" t="s">
        <v>70</v>
      </c>
      <c r="F417" s="10" t="s">
        <v>50</v>
      </c>
      <c r="G417" s="10" t="s">
        <v>42</v>
      </c>
      <c r="H417" s="10" t="s">
        <v>66</v>
      </c>
      <c r="I417" s="10">
        <v>2</v>
      </c>
      <c r="J417" s="12">
        <v>18000</v>
      </c>
      <c r="K417" s="10">
        <v>20</v>
      </c>
      <c r="L417" s="10" t="s">
        <v>51</v>
      </c>
      <c r="M417" s="10" t="s">
        <v>123</v>
      </c>
    </row>
    <row r="418" spans="1:13" x14ac:dyDescent="0.3">
      <c r="A418" s="7" t="s">
        <v>894</v>
      </c>
      <c r="B418" s="8">
        <v>45372</v>
      </c>
      <c r="C418" s="7" t="s">
        <v>895</v>
      </c>
      <c r="D418" s="7" t="s">
        <v>75</v>
      </c>
      <c r="E418" s="7" t="s">
        <v>40</v>
      </c>
      <c r="F418" s="7" t="s">
        <v>41</v>
      </c>
      <c r="G418" s="7" t="s">
        <v>42</v>
      </c>
      <c r="H418" s="7" t="s">
        <v>71</v>
      </c>
      <c r="I418" s="7">
        <v>1</v>
      </c>
      <c r="J418" s="9">
        <v>35000</v>
      </c>
      <c r="K418" s="7">
        <v>5</v>
      </c>
      <c r="L418" s="7" t="s">
        <v>51</v>
      </c>
      <c r="M418" s="7" t="s">
        <v>344</v>
      </c>
    </row>
    <row r="419" spans="1:13" x14ac:dyDescent="0.3">
      <c r="A419" s="10" t="s">
        <v>896</v>
      </c>
      <c r="B419" s="11">
        <v>45527</v>
      </c>
      <c r="C419" s="10" t="s">
        <v>897</v>
      </c>
      <c r="D419" s="10" t="s">
        <v>39</v>
      </c>
      <c r="E419" s="10" t="s">
        <v>70</v>
      </c>
      <c r="F419" s="10" t="s">
        <v>92</v>
      </c>
      <c r="G419" s="10" t="s">
        <v>77</v>
      </c>
      <c r="H419" s="10" t="s">
        <v>66</v>
      </c>
      <c r="I419" s="10">
        <v>15</v>
      </c>
      <c r="J419" s="12">
        <v>450000</v>
      </c>
      <c r="K419" s="10">
        <v>0</v>
      </c>
      <c r="L419" s="10" t="s">
        <v>131</v>
      </c>
      <c r="M419" s="10" t="s">
        <v>168</v>
      </c>
    </row>
    <row r="420" spans="1:13" x14ac:dyDescent="0.3">
      <c r="A420" s="7" t="s">
        <v>898</v>
      </c>
      <c r="B420" s="8">
        <v>45652</v>
      </c>
      <c r="C420" s="7" t="s">
        <v>899</v>
      </c>
      <c r="D420" s="7" t="s">
        <v>109</v>
      </c>
      <c r="E420" s="7" t="s">
        <v>40</v>
      </c>
      <c r="F420" s="7" t="s">
        <v>92</v>
      </c>
      <c r="G420" s="7" t="s">
        <v>77</v>
      </c>
      <c r="H420" s="7" t="s">
        <v>71</v>
      </c>
      <c r="I420" s="7">
        <v>14</v>
      </c>
      <c r="J420" s="9">
        <v>450000</v>
      </c>
      <c r="K420" s="7">
        <v>15</v>
      </c>
      <c r="L420" s="7" t="s">
        <v>131</v>
      </c>
      <c r="M420" s="7" t="s">
        <v>93</v>
      </c>
    </row>
    <row r="421" spans="1:13" x14ac:dyDescent="0.3">
      <c r="A421" s="10" t="s">
        <v>900</v>
      </c>
      <c r="B421" s="11">
        <v>45522</v>
      </c>
      <c r="C421" s="10" t="s">
        <v>901</v>
      </c>
      <c r="D421" s="10" t="s">
        <v>55</v>
      </c>
      <c r="E421" s="10" t="s">
        <v>40</v>
      </c>
      <c r="F421" s="10" t="s">
        <v>92</v>
      </c>
      <c r="G421" s="10" t="s">
        <v>77</v>
      </c>
      <c r="H421" s="10" t="s">
        <v>66</v>
      </c>
      <c r="I421" s="10">
        <v>6</v>
      </c>
      <c r="J421" s="12">
        <v>450000</v>
      </c>
      <c r="K421" s="10">
        <v>15</v>
      </c>
      <c r="L421" s="10" t="s">
        <v>131</v>
      </c>
      <c r="M421" s="10" t="s">
        <v>168</v>
      </c>
    </row>
    <row r="422" spans="1:13" x14ac:dyDescent="0.3">
      <c r="A422" s="7" t="s">
        <v>902</v>
      </c>
      <c r="B422" s="8">
        <v>45295</v>
      </c>
      <c r="C422" s="7" t="s">
        <v>903</v>
      </c>
      <c r="D422" s="7" t="s">
        <v>81</v>
      </c>
      <c r="E422" s="7" t="s">
        <v>40</v>
      </c>
      <c r="F422" s="7" t="s">
        <v>82</v>
      </c>
      <c r="G422" s="7" t="s">
        <v>77</v>
      </c>
      <c r="H422" s="7" t="s">
        <v>66</v>
      </c>
      <c r="I422" s="7">
        <v>18</v>
      </c>
      <c r="J422" s="9">
        <v>220000</v>
      </c>
      <c r="K422" s="7">
        <v>0</v>
      </c>
      <c r="L422" s="7" t="s">
        <v>51</v>
      </c>
      <c r="M422" s="7" t="s">
        <v>103</v>
      </c>
    </row>
    <row r="423" spans="1:13" x14ac:dyDescent="0.3">
      <c r="A423" s="10" t="s">
        <v>904</v>
      </c>
      <c r="B423" s="11">
        <v>45385</v>
      </c>
      <c r="C423" s="10" t="s">
        <v>905</v>
      </c>
      <c r="D423" s="10" t="s">
        <v>48</v>
      </c>
      <c r="E423" s="10" t="s">
        <v>56</v>
      </c>
      <c r="F423" s="10" t="s">
        <v>57</v>
      </c>
      <c r="G423" s="10" t="s">
        <v>42</v>
      </c>
      <c r="H423" s="10" t="s">
        <v>66</v>
      </c>
      <c r="I423" s="10">
        <v>4</v>
      </c>
      <c r="J423" s="12">
        <v>28000</v>
      </c>
      <c r="K423" s="10">
        <v>0</v>
      </c>
      <c r="L423" s="10" t="s">
        <v>51</v>
      </c>
      <c r="M423" s="10" t="s">
        <v>67</v>
      </c>
    </row>
    <row r="424" spans="1:13" x14ac:dyDescent="0.3">
      <c r="A424" s="7" t="s">
        <v>906</v>
      </c>
      <c r="B424" s="8">
        <v>45485</v>
      </c>
      <c r="C424" s="7" t="s">
        <v>907</v>
      </c>
      <c r="D424" s="7" t="s">
        <v>65</v>
      </c>
      <c r="E424" s="7" t="s">
        <v>70</v>
      </c>
      <c r="F424" s="7" t="s">
        <v>76</v>
      </c>
      <c r="G424" s="7" t="s">
        <v>77</v>
      </c>
      <c r="H424" s="7" t="s">
        <v>66</v>
      </c>
      <c r="I424" s="7">
        <v>15</v>
      </c>
      <c r="J424" s="9">
        <v>-5000</v>
      </c>
      <c r="K424" s="7">
        <v>0</v>
      </c>
      <c r="L424" s="7" t="s">
        <v>51</v>
      </c>
      <c r="M424" s="7" t="s">
        <v>78</v>
      </c>
    </row>
    <row r="425" spans="1:13" x14ac:dyDescent="0.3">
      <c r="A425" s="10" t="s">
        <v>908</v>
      </c>
      <c r="B425" s="11">
        <v>45404</v>
      </c>
      <c r="C425" s="10" t="s">
        <v>909</v>
      </c>
      <c r="D425" s="10" t="s">
        <v>154</v>
      </c>
      <c r="E425" s="10" t="s">
        <v>49</v>
      </c>
      <c r="F425" s="10" t="s">
        <v>92</v>
      </c>
      <c r="G425" s="10" t="s">
        <v>77</v>
      </c>
      <c r="H425" s="10" t="s">
        <v>43</v>
      </c>
      <c r="I425" s="10">
        <v>6</v>
      </c>
      <c r="J425" s="12">
        <v>450000</v>
      </c>
      <c r="K425" s="10">
        <v>0</v>
      </c>
      <c r="L425" s="10" t="s">
        <v>44</v>
      </c>
      <c r="M425" s="10" t="s">
        <v>106</v>
      </c>
    </row>
    <row r="426" spans="1:13" x14ac:dyDescent="0.3">
      <c r="A426" s="7" t="s">
        <v>910</v>
      </c>
      <c r="B426" s="8">
        <v>45333</v>
      </c>
      <c r="C426" s="7" t="s">
        <v>911</v>
      </c>
      <c r="D426" s="7" t="s">
        <v>65</v>
      </c>
      <c r="E426" s="7" t="s">
        <v>40</v>
      </c>
      <c r="F426" s="7" t="s">
        <v>50</v>
      </c>
      <c r="G426" s="7" t="s">
        <v>42</v>
      </c>
      <c r="H426" s="7" t="s">
        <v>66</v>
      </c>
      <c r="I426" s="7">
        <v>9</v>
      </c>
      <c r="J426" s="9">
        <v>18000</v>
      </c>
      <c r="K426" s="7">
        <v>0</v>
      </c>
      <c r="L426" s="7" t="s">
        <v>51</v>
      </c>
      <c r="M426" s="7" t="s">
        <v>123</v>
      </c>
    </row>
    <row r="427" spans="1:13" x14ac:dyDescent="0.3">
      <c r="A427" s="10" t="s">
        <v>912</v>
      </c>
      <c r="B427" s="11">
        <v>45619</v>
      </c>
      <c r="C427" s="10" t="s">
        <v>913</v>
      </c>
      <c r="D427" s="10" t="s">
        <v>48</v>
      </c>
      <c r="E427" s="10" t="s">
        <v>49</v>
      </c>
      <c r="F427" s="10" t="s">
        <v>76</v>
      </c>
      <c r="G427" s="10" t="s">
        <v>77</v>
      </c>
      <c r="H427" s="10" t="s">
        <v>66</v>
      </c>
      <c r="I427" s="10">
        <v>12</v>
      </c>
      <c r="J427" s="12">
        <v>180000</v>
      </c>
      <c r="K427" s="10">
        <v>0</v>
      </c>
      <c r="L427" s="10" t="s">
        <v>51</v>
      </c>
      <c r="M427" s="10" t="s">
        <v>78</v>
      </c>
    </row>
    <row r="428" spans="1:13" x14ac:dyDescent="0.3">
      <c r="A428" s="7" t="s">
        <v>914</v>
      </c>
      <c r="B428" s="8">
        <v>45547</v>
      </c>
      <c r="C428" s="7" t="s">
        <v>915</v>
      </c>
      <c r="D428" s="7" t="s">
        <v>75</v>
      </c>
      <c r="E428" s="7" t="s">
        <v>40</v>
      </c>
      <c r="F428" s="7" t="s">
        <v>57</v>
      </c>
      <c r="G428" s="7" t="s">
        <v>42</v>
      </c>
      <c r="H428" s="7" t="s">
        <v>163</v>
      </c>
      <c r="I428" s="7">
        <v>16</v>
      </c>
      <c r="J428" s="9">
        <v>28000</v>
      </c>
      <c r="K428" s="7">
        <v>10</v>
      </c>
      <c r="L428" s="7" t="s">
        <v>86</v>
      </c>
      <c r="M428" s="7" t="s">
        <v>916</v>
      </c>
    </row>
    <row r="429" spans="1:13" x14ac:dyDescent="0.3">
      <c r="A429" s="10" t="s">
        <v>917</v>
      </c>
      <c r="B429" s="11">
        <v>45549</v>
      </c>
      <c r="C429" s="10" t="s">
        <v>918</v>
      </c>
      <c r="D429" s="10" t="s">
        <v>65</v>
      </c>
      <c r="E429" s="10" t="s">
        <v>70</v>
      </c>
      <c r="F429" s="10" t="s">
        <v>92</v>
      </c>
      <c r="G429" s="10" t="s">
        <v>77</v>
      </c>
      <c r="H429" s="10" t="s">
        <v>43</v>
      </c>
      <c r="I429" s="10">
        <v>2</v>
      </c>
      <c r="J429" s="12">
        <v>450000</v>
      </c>
      <c r="K429" s="10"/>
      <c r="L429" s="10" t="s">
        <v>51</v>
      </c>
      <c r="M429" s="10" t="s">
        <v>106</v>
      </c>
    </row>
    <row r="430" spans="1:13" x14ac:dyDescent="0.3">
      <c r="A430" s="7" t="s">
        <v>919</v>
      </c>
      <c r="B430" s="8">
        <v>45333</v>
      </c>
      <c r="C430" s="7" t="s">
        <v>920</v>
      </c>
      <c r="D430" s="7" t="s">
        <v>55</v>
      </c>
      <c r="E430" s="7" t="s">
        <v>56</v>
      </c>
      <c r="F430" s="7" t="s">
        <v>50</v>
      </c>
      <c r="G430" s="7" t="s">
        <v>42</v>
      </c>
      <c r="H430" s="7" t="s">
        <v>66</v>
      </c>
      <c r="I430" s="7">
        <v>6</v>
      </c>
      <c r="J430" s="9">
        <v>18000</v>
      </c>
      <c r="K430" s="7">
        <v>0</v>
      </c>
      <c r="L430" s="7" t="s">
        <v>51</v>
      </c>
      <c r="M430" s="7" t="s">
        <v>123</v>
      </c>
    </row>
    <row r="431" spans="1:13" x14ac:dyDescent="0.3">
      <c r="A431" s="10" t="s">
        <v>921</v>
      </c>
      <c r="B431" s="11">
        <v>45610</v>
      </c>
      <c r="C431" s="10" t="s">
        <v>922</v>
      </c>
      <c r="D431" s="10" t="s">
        <v>81</v>
      </c>
      <c r="E431" s="10" t="s">
        <v>49</v>
      </c>
      <c r="F431" s="10" t="s">
        <v>41</v>
      </c>
      <c r="G431" s="10" t="s">
        <v>42</v>
      </c>
      <c r="H431" s="10" t="s">
        <v>71</v>
      </c>
      <c r="I431" s="10">
        <v>2</v>
      </c>
      <c r="J431" s="12">
        <v>35000</v>
      </c>
      <c r="K431" s="10">
        <v>0</v>
      </c>
      <c r="L431" s="10" t="s">
        <v>131</v>
      </c>
      <c r="M431" s="10" t="s">
        <v>344</v>
      </c>
    </row>
    <row r="432" spans="1:13" x14ac:dyDescent="0.3">
      <c r="A432" s="7" t="s">
        <v>923</v>
      </c>
      <c r="B432" s="8">
        <v>45513</v>
      </c>
      <c r="C432" s="7" t="s">
        <v>924</v>
      </c>
      <c r="D432" s="7" t="s">
        <v>48</v>
      </c>
      <c r="E432" s="7" t="s">
        <v>70</v>
      </c>
      <c r="F432" s="7" t="s">
        <v>50</v>
      </c>
      <c r="G432" s="7" t="s">
        <v>42</v>
      </c>
      <c r="H432" s="7" t="s">
        <v>66</v>
      </c>
      <c r="I432" s="7">
        <v>2</v>
      </c>
      <c r="J432" s="9">
        <v>18000</v>
      </c>
      <c r="K432" s="7">
        <v>0</v>
      </c>
      <c r="L432" s="7" t="s">
        <v>86</v>
      </c>
      <c r="M432" s="7" t="s">
        <v>123</v>
      </c>
    </row>
    <row r="433" spans="1:13" x14ac:dyDescent="0.3">
      <c r="A433" s="10" t="s">
        <v>925</v>
      </c>
      <c r="B433" s="11">
        <v>45599</v>
      </c>
      <c r="C433" s="10" t="s">
        <v>926</v>
      </c>
      <c r="D433" s="10" t="s">
        <v>48</v>
      </c>
      <c r="E433" s="10" t="s">
        <v>56</v>
      </c>
      <c r="F433" s="10" t="s">
        <v>57</v>
      </c>
      <c r="G433" s="10" t="s">
        <v>42</v>
      </c>
      <c r="H433" s="10" t="s">
        <v>43</v>
      </c>
      <c r="I433" s="10">
        <v>8</v>
      </c>
      <c r="J433" s="12">
        <v>28000</v>
      </c>
      <c r="K433" s="10">
        <v>0</v>
      </c>
      <c r="L433" s="10" t="s">
        <v>51</v>
      </c>
      <c r="M433" s="10" t="s">
        <v>58</v>
      </c>
    </row>
    <row r="434" spans="1:13" x14ac:dyDescent="0.3">
      <c r="A434" s="7" t="s">
        <v>927</v>
      </c>
      <c r="B434" s="8">
        <v>45515</v>
      </c>
      <c r="C434" s="7" t="s">
        <v>333</v>
      </c>
      <c r="D434" s="7" t="s">
        <v>75</v>
      </c>
      <c r="E434" s="7" t="s">
        <v>49</v>
      </c>
      <c r="F434" s="7" t="s">
        <v>76</v>
      </c>
      <c r="G434" s="7" t="s">
        <v>77</v>
      </c>
      <c r="H434" s="7" t="s">
        <v>66</v>
      </c>
      <c r="I434" s="7">
        <v>7</v>
      </c>
      <c r="J434" s="9">
        <v>180000</v>
      </c>
      <c r="K434" s="7">
        <v>0</v>
      </c>
      <c r="L434" s="7" t="s">
        <v>51</v>
      </c>
      <c r="M434" s="7" t="s">
        <v>78</v>
      </c>
    </row>
    <row r="435" spans="1:13" x14ac:dyDescent="0.3">
      <c r="A435" s="10" t="s">
        <v>928</v>
      </c>
      <c r="B435" s="11">
        <v>45403</v>
      </c>
      <c r="C435" s="10" t="s">
        <v>929</v>
      </c>
      <c r="D435" s="10" t="s">
        <v>141</v>
      </c>
      <c r="E435" s="10" t="s">
        <v>40</v>
      </c>
      <c r="F435" s="10" t="s">
        <v>92</v>
      </c>
      <c r="G435" s="10" t="s">
        <v>77</v>
      </c>
      <c r="H435" s="10" t="s">
        <v>66</v>
      </c>
      <c r="I435" s="10">
        <v>17</v>
      </c>
      <c r="J435" s="12">
        <v>450000</v>
      </c>
      <c r="K435" s="10">
        <v>10</v>
      </c>
      <c r="L435" s="10" t="s">
        <v>131</v>
      </c>
      <c r="M435" s="10" t="s">
        <v>168</v>
      </c>
    </row>
    <row r="436" spans="1:13" x14ac:dyDescent="0.3">
      <c r="A436" s="7" t="s">
        <v>930</v>
      </c>
      <c r="B436" s="8">
        <v>45530</v>
      </c>
      <c r="C436" s="7" t="s">
        <v>931</v>
      </c>
      <c r="D436" s="7" t="s">
        <v>154</v>
      </c>
      <c r="E436" s="7" t="s">
        <v>56</v>
      </c>
      <c r="F436" s="7" t="s">
        <v>57</v>
      </c>
      <c r="G436" s="7" t="s">
        <v>42</v>
      </c>
      <c r="H436" s="7" t="s">
        <v>43</v>
      </c>
      <c r="I436" s="7">
        <v>4</v>
      </c>
      <c r="J436" s="9">
        <v>28000</v>
      </c>
      <c r="K436" s="7">
        <v>20</v>
      </c>
      <c r="L436" s="7" t="s">
        <v>51</v>
      </c>
      <c r="M436" s="7" t="s">
        <v>58</v>
      </c>
    </row>
    <row r="437" spans="1:13" x14ac:dyDescent="0.3">
      <c r="A437" s="10" t="s">
        <v>932</v>
      </c>
      <c r="B437" s="11">
        <v>45485</v>
      </c>
      <c r="C437" s="10" t="s">
        <v>225</v>
      </c>
      <c r="D437" s="10" t="s">
        <v>55</v>
      </c>
      <c r="E437" s="10" t="s">
        <v>49</v>
      </c>
      <c r="F437" s="10" t="s">
        <v>82</v>
      </c>
      <c r="G437" s="10" t="s">
        <v>77</v>
      </c>
      <c r="H437" s="10" t="s">
        <v>66</v>
      </c>
      <c r="I437" s="10">
        <v>7</v>
      </c>
      <c r="J437" s="12">
        <v>220000</v>
      </c>
      <c r="K437" s="10">
        <v>20</v>
      </c>
      <c r="L437" s="10" t="s">
        <v>51</v>
      </c>
      <c r="M437" s="10" t="s">
        <v>103</v>
      </c>
    </row>
    <row r="438" spans="1:13" x14ac:dyDescent="0.3">
      <c r="A438" s="7" t="s">
        <v>933</v>
      </c>
      <c r="B438" s="8">
        <v>45631</v>
      </c>
      <c r="C438" s="7" t="s">
        <v>934</v>
      </c>
      <c r="D438" s="7" t="s">
        <v>75</v>
      </c>
      <c r="E438" s="7" t="s">
        <v>70</v>
      </c>
      <c r="F438" s="7" t="s">
        <v>99</v>
      </c>
      <c r="G438" s="7" t="s">
        <v>77</v>
      </c>
      <c r="H438" s="7" t="s">
        <v>71</v>
      </c>
      <c r="I438" s="7">
        <v>8</v>
      </c>
      <c r="J438" s="9">
        <v>95000</v>
      </c>
      <c r="K438" s="7">
        <v>0</v>
      </c>
      <c r="L438" s="7" t="s">
        <v>51</v>
      </c>
      <c r="M438" s="7" t="s">
        <v>100</v>
      </c>
    </row>
    <row r="439" spans="1:13" x14ac:dyDescent="0.3">
      <c r="A439" s="10" t="s">
        <v>176</v>
      </c>
      <c r="B439" s="11">
        <v>45445</v>
      </c>
      <c r="C439" s="10" t="s">
        <v>177</v>
      </c>
      <c r="D439" s="10" t="s">
        <v>109</v>
      </c>
      <c r="E439" s="10" t="s">
        <v>49</v>
      </c>
      <c r="F439" s="10" t="s">
        <v>82</v>
      </c>
      <c r="G439" s="10" t="s">
        <v>77</v>
      </c>
      <c r="H439" s="10" t="s">
        <v>71</v>
      </c>
      <c r="I439" s="10">
        <v>7</v>
      </c>
      <c r="J439" s="12">
        <v>220000</v>
      </c>
      <c r="K439" s="10">
        <v>10</v>
      </c>
      <c r="L439" s="10" t="s">
        <v>44</v>
      </c>
      <c r="M439" s="10" t="s">
        <v>83</v>
      </c>
    </row>
    <row r="440" spans="1:13" x14ac:dyDescent="0.3">
      <c r="A440" s="7" t="s">
        <v>935</v>
      </c>
      <c r="B440" s="8">
        <v>45601</v>
      </c>
      <c r="C440" s="7" t="s">
        <v>936</v>
      </c>
      <c r="D440" s="7" t="s">
        <v>55</v>
      </c>
      <c r="E440" s="7" t="s">
        <v>40</v>
      </c>
      <c r="F440" s="7" t="s">
        <v>57</v>
      </c>
      <c r="G440" s="7" t="s">
        <v>42</v>
      </c>
      <c r="H440" s="7" t="s">
        <v>71</v>
      </c>
      <c r="I440" s="7">
        <v>13</v>
      </c>
      <c r="J440" s="9">
        <v>28000</v>
      </c>
      <c r="K440" s="7">
        <v>15</v>
      </c>
      <c r="L440" s="7" t="s">
        <v>51</v>
      </c>
      <c r="M440" s="7" t="s">
        <v>96</v>
      </c>
    </row>
    <row r="441" spans="1:13" x14ac:dyDescent="0.3">
      <c r="A441" s="10" t="s">
        <v>508</v>
      </c>
      <c r="B441" s="11">
        <v>45481</v>
      </c>
      <c r="C441" s="10" t="s">
        <v>509</v>
      </c>
      <c r="D441" s="10" t="s">
        <v>109</v>
      </c>
      <c r="E441" s="10" t="s">
        <v>70</v>
      </c>
      <c r="F441" s="10" t="s">
        <v>50</v>
      </c>
      <c r="G441" s="10" t="s">
        <v>42</v>
      </c>
      <c r="H441" s="10" t="s">
        <v>66</v>
      </c>
      <c r="I441" s="10">
        <v>13</v>
      </c>
      <c r="J441" s="12">
        <v>18000</v>
      </c>
      <c r="K441" s="10">
        <v>5</v>
      </c>
      <c r="L441" s="10" t="s">
        <v>44</v>
      </c>
      <c r="M441" s="10" t="s">
        <v>123</v>
      </c>
    </row>
    <row r="442" spans="1:13" x14ac:dyDescent="0.3">
      <c r="A442" s="7" t="s">
        <v>937</v>
      </c>
      <c r="B442" s="8">
        <v>45617</v>
      </c>
      <c r="C442" s="7" t="s">
        <v>938</v>
      </c>
      <c r="D442" s="7" t="s">
        <v>118</v>
      </c>
      <c r="E442" s="7" t="s">
        <v>40</v>
      </c>
      <c r="F442" s="7" t="s">
        <v>82</v>
      </c>
      <c r="G442" s="7" t="s">
        <v>77</v>
      </c>
      <c r="H442" s="7" t="s">
        <v>71</v>
      </c>
      <c r="I442" s="7">
        <v>7</v>
      </c>
      <c r="J442" s="9">
        <v>220000</v>
      </c>
      <c r="K442" s="7">
        <v>15</v>
      </c>
      <c r="L442" s="7" t="s">
        <v>51</v>
      </c>
      <c r="M442" s="7" t="s">
        <v>83</v>
      </c>
    </row>
    <row r="443" spans="1:13" x14ac:dyDescent="0.3">
      <c r="A443" s="10" t="s">
        <v>939</v>
      </c>
      <c r="B443" s="11">
        <v>45469</v>
      </c>
      <c r="C443" s="10" t="s">
        <v>940</v>
      </c>
      <c r="D443" s="10" t="s">
        <v>118</v>
      </c>
      <c r="E443" s="10" t="s">
        <v>49</v>
      </c>
      <c r="F443" s="10" t="s">
        <v>57</v>
      </c>
      <c r="G443" s="10" t="s">
        <v>42</v>
      </c>
      <c r="H443" s="10" t="s">
        <v>71</v>
      </c>
      <c r="I443" s="10">
        <v>5</v>
      </c>
      <c r="J443" s="12">
        <v>28000</v>
      </c>
      <c r="K443" s="10">
        <v>15</v>
      </c>
      <c r="L443" s="10" t="s">
        <v>51</v>
      </c>
      <c r="M443" s="10" t="s">
        <v>96</v>
      </c>
    </row>
    <row r="444" spans="1:13" x14ac:dyDescent="0.3">
      <c r="A444" s="7" t="s">
        <v>941</v>
      </c>
      <c r="B444" s="8">
        <v>45543</v>
      </c>
      <c r="C444" s="7" t="s">
        <v>420</v>
      </c>
      <c r="D444" s="7" t="s">
        <v>55</v>
      </c>
      <c r="E444" s="7" t="s">
        <v>40</v>
      </c>
      <c r="F444" s="7" t="s">
        <v>99</v>
      </c>
      <c r="G444" s="7" t="s">
        <v>77</v>
      </c>
      <c r="H444" s="7" t="s">
        <v>71</v>
      </c>
      <c r="I444" s="7">
        <v>4</v>
      </c>
      <c r="J444" s="9">
        <v>95000</v>
      </c>
      <c r="K444" s="7">
        <v>0</v>
      </c>
      <c r="L444" s="7" t="s">
        <v>131</v>
      </c>
      <c r="M444" s="7" t="s">
        <v>100</v>
      </c>
    </row>
    <row r="445" spans="1:13" x14ac:dyDescent="0.3">
      <c r="A445" s="10" t="s">
        <v>942</v>
      </c>
      <c r="B445" s="11">
        <v>45543</v>
      </c>
      <c r="C445" s="10" t="s">
        <v>943</v>
      </c>
      <c r="D445" s="10" t="s">
        <v>154</v>
      </c>
      <c r="E445" s="10" t="s">
        <v>40</v>
      </c>
      <c r="F445" s="10" t="s">
        <v>82</v>
      </c>
      <c r="G445" s="10" t="s">
        <v>77</v>
      </c>
      <c r="H445" s="10" t="s">
        <v>66</v>
      </c>
      <c r="I445" s="10">
        <v>9</v>
      </c>
      <c r="J445" s="12">
        <v>220000</v>
      </c>
      <c r="K445" s="10">
        <v>0</v>
      </c>
      <c r="L445" s="10" t="s">
        <v>86</v>
      </c>
      <c r="M445" s="10" t="s">
        <v>103</v>
      </c>
    </row>
    <row r="446" spans="1:13" x14ac:dyDescent="0.3">
      <c r="A446" s="7" t="s">
        <v>944</v>
      </c>
      <c r="B446" s="8">
        <v>45619</v>
      </c>
      <c r="C446" s="7" t="s">
        <v>945</v>
      </c>
      <c r="D446" s="7" t="s">
        <v>75</v>
      </c>
      <c r="E446" s="7" t="s">
        <v>70</v>
      </c>
      <c r="F446" s="7" t="s">
        <v>92</v>
      </c>
      <c r="G446" s="7" t="s">
        <v>77</v>
      </c>
      <c r="H446" s="7" t="s">
        <v>71</v>
      </c>
      <c r="I446" s="7">
        <v>4</v>
      </c>
      <c r="J446" s="9">
        <v>450000</v>
      </c>
      <c r="K446" s="7">
        <v>20</v>
      </c>
      <c r="L446" s="7" t="s">
        <v>51</v>
      </c>
      <c r="M446" s="7" t="s">
        <v>93</v>
      </c>
    </row>
    <row r="447" spans="1:13" x14ac:dyDescent="0.3">
      <c r="A447" s="10" t="s">
        <v>946</v>
      </c>
      <c r="B447" s="11">
        <v>45478</v>
      </c>
      <c r="C447" s="10" t="s">
        <v>947</v>
      </c>
      <c r="D447" s="10" t="s">
        <v>39</v>
      </c>
      <c r="E447" s="10" t="s">
        <v>49</v>
      </c>
      <c r="F447" s="10" t="s">
        <v>50</v>
      </c>
      <c r="G447" s="10" t="s">
        <v>42</v>
      </c>
      <c r="H447" s="10" t="s">
        <v>71</v>
      </c>
      <c r="I447" s="10">
        <v>6</v>
      </c>
      <c r="J447" s="12">
        <v>18000</v>
      </c>
      <c r="K447" s="10">
        <v>0</v>
      </c>
      <c r="L447" s="10" t="s">
        <v>51</v>
      </c>
      <c r="M447" s="10" t="s">
        <v>72</v>
      </c>
    </row>
    <row r="448" spans="1:13" x14ac:dyDescent="0.3">
      <c r="A448" s="7" t="s">
        <v>948</v>
      </c>
      <c r="B448" s="8">
        <v>45293</v>
      </c>
      <c r="C448" s="7" t="s">
        <v>949</v>
      </c>
      <c r="D448" s="7" t="s">
        <v>118</v>
      </c>
      <c r="E448" s="7" t="s">
        <v>49</v>
      </c>
      <c r="F448" s="7" t="s">
        <v>99</v>
      </c>
      <c r="G448" s="7" t="s">
        <v>77</v>
      </c>
      <c r="H448" s="7" t="s">
        <v>66</v>
      </c>
      <c r="I448" s="7">
        <v>11</v>
      </c>
      <c r="J448" s="9">
        <v>95000</v>
      </c>
      <c r="K448" s="7">
        <v>15</v>
      </c>
      <c r="L448" s="7" t="s">
        <v>51</v>
      </c>
      <c r="M448" s="7" t="s">
        <v>232</v>
      </c>
    </row>
    <row r="449" spans="1:13" x14ac:dyDescent="0.3">
      <c r="A449" s="10" t="s">
        <v>950</v>
      </c>
      <c r="B449" s="11">
        <v>45630</v>
      </c>
      <c r="C449" s="10" t="s">
        <v>951</v>
      </c>
      <c r="D449" s="10"/>
      <c r="E449" s="10" t="s">
        <v>70</v>
      </c>
      <c r="F449" s="10" t="s">
        <v>76</v>
      </c>
      <c r="G449" s="10" t="s">
        <v>77</v>
      </c>
      <c r="H449" s="10" t="s">
        <v>43</v>
      </c>
      <c r="I449" s="10">
        <v>19</v>
      </c>
      <c r="J449" s="12">
        <v>180000</v>
      </c>
      <c r="K449" s="10">
        <v>15</v>
      </c>
      <c r="L449" s="10" t="s">
        <v>51</v>
      </c>
      <c r="M449" s="10" t="s">
        <v>221</v>
      </c>
    </row>
    <row r="450" spans="1:13" x14ac:dyDescent="0.3">
      <c r="A450" s="7" t="s">
        <v>952</v>
      </c>
      <c r="B450" s="8">
        <v>45639</v>
      </c>
      <c r="C450" s="7" t="s">
        <v>953</v>
      </c>
      <c r="D450" s="7" t="s">
        <v>65</v>
      </c>
      <c r="E450" s="7" t="s">
        <v>49</v>
      </c>
      <c r="F450" s="7" t="s">
        <v>57</v>
      </c>
      <c r="G450" s="7" t="s">
        <v>42</v>
      </c>
      <c r="H450" s="7" t="s">
        <v>71</v>
      </c>
      <c r="I450" s="7">
        <v>11</v>
      </c>
      <c r="J450" s="9">
        <v>28000</v>
      </c>
      <c r="K450" s="7">
        <v>10</v>
      </c>
      <c r="L450" s="7" t="s">
        <v>131</v>
      </c>
      <c r="M450" s="7" t="s">
        <v>96</v>
      </c>
    </row>
    <row r="451" spans="1:13" x14ac:dyDescent="0.3">
      <c r="A451" s="10" t="s">
        <v>954</v>
      </c>
      <c r="B451" s="11">
        <v>45453</v>
      </c>
      <c r="C451" s="10" t="s">
        <v>955</v>
      </c>
      <c r="D451" s="10" t="s">
        <v>118</v>
      </c>
      <c r="E451" s="10" t="s">
        <v>40</v>
      </c>
      <c r="F451" s="10" t="s">
        <v>41</v>
      </c>
      <c r="G451" s="10" t="s">
        <v>42</v>
      </c>
      <c r="H451" s="10" t="s">
        <v>66</v>
      </c>
      <c r="I451" s="10">
        <v>3</v>
      </c>
      <c r="J451" s="12">
        <v>35000</v>
      </c>
      <c r="K451" s="10">
        <v>0</v>
      </c>
      <c r="L451" s="10" t="s">
        <v>86</v>
      </c>
      <c r="M451" s="10" t="s">
        <v>180</v>
      </c>
    </row>
  </sheetData>
  <autoFilter ref="A1:M1" xr:uid="{00000000-0009-0000-0000-000001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2"/>
  <sheetViews>
    <sheetView zoomScaleNormal="100" workbookViewId="0">
      <pane ySplit="1" topLeftCell="A2" activePane="bottomLeft" state="frozen"/>
      <selection pane="bottomLeft" activeCell="N17" sqref="N17"/>
    </sheetView>
  </sheetViews>
  <sheetFormatPr defaultColWidth="8.6640625" defaultRowHeight="14.4" x14ac:dyDescent="0.3"/>
  <cols>
    <col min="1" max="1" width="14" customWidth="1"/>
    <col min="2" max="2" width="16" customWidth="1"/>
    <col min="3" max="3" width="10" customWidth="1"/>
    <col min="4" max="4" width="16" customWidth="1"/>
    <col min="5" max="5" width="13" customWidth="1"/>
    <col min="6" max="6" width="12" customWidth="1"/>
    <col min="7" max="7" width="16" customWidth="1"/>
    <col min="8" max="8" width="20" customWidth="1"/>
    <col min="9" max="10" width="16" customWidth="1"/>
    <col min="11" max="11" width="18" customWidth="1"/>
    <col min="12" max="12" width="16.77734375" bestFit="1" customWidth="1"/>
  </cols>
  <sheetData>
    <row r="1" spans="1:12" ht="34.5" customHeight="1" x14ac:dyDescent="0.3">
      <c r="A1" s="17" t="s">
        <v>24</v>
      </c>
      <c r="B1" s="17" t="s">
        <v>29</v>
      </c>
      <c r="C1" s="17" t="s">
        <v>32</v>
      </c>
      <c r="D1" s="17" t="s">
        <v>33</v>
      </c>
      <c r="E1" s="17" t="s">
        <v>34</v>
      </c>
      <c r="F1" s="17" t="s">
        <v>35</v>
      </c>
      <c r="G1" s="17" t="s">
        <v>974</v>
      </c>
      <c r="H1" s="17" t="s">
        <v>975</v>
      </c>
      <c r="I1" s="17" t="s">
        <v>976</v>
      </c>
      <c r="J1" s="17" t="s">
        <v>977</v>
      </c>
      <c r="K1" s="17" t="s">
        <v>978</v>
      </c>
      <c r="L1" s="17" t="s">
        <v>979</v>
      </c>
    </row>
    <row r="2" spans="1:12" x14ac:dyDescent="0.3">
      <c r="A2" s="18" t="s">
        <v>37</v>
      </c>
      <c r="B2" s="18" t="s">
        <v>41</v>
      </c>
      <c r="C2" s="18">
        <v>7</v>
      </c>
      <c r="D2" s="19">
        <v>35000</v>
      </c>
      <c r="E2" s="18">
        <v>10</v>
      </c>
      <c r="F2" s="18" t="s">
        <v>44</v>
      </c>
      <c r="G2" s="19">
        <f t="shared" ref="G2:G33" si="0">C2*D2</f>
        <v>245000</v>
      </c>
      <c r="H2" s="19">
        <f t="shared" ref="H2:H33" si="1">G2*(1-E2/100)</f>
        <v>220500</v>
      </c>
      <c r="I2" s="19">
        <f t="shared" ref="I2:I33" si="2">H2*0.075</f>
        <v>16537.5</v>
      </c>
      <c r="J2" s="19">
        <f t="shared" ref="J2:J33" si="3">H2+I2</f>
        <v>237037.5</v>
      </c>
      <c r="K2" s="18" t="str">
        <f ca="1">IFERROR(_xludf.xlookup(B2,LOOKUP_TABLES!A:A,LOOKUP_TABLES!B:B,"Not Found"),"Error")</f>
        <v>Error</v>
      </c>
      <c r="L2" s="18">
        <f>IFERROR(INDEX(LOOKUP_TABLES!E:E,MATCH(B2,LOOKUP_TABLES!A:A,0)),"Not Found")</f>
        <v>6</v>
      </c>
    </row>
    <row r="3" spans="1:12" x14ac:dyDescent="0.3">
      <c r="A3" s="20" t="s">
        <v>46</v>
      </c>
      <c r="B3" s="20" t="s">
        <v>50</v>
      </c>
      <c r="C3" s="20">
        <v>4</v>
      </c>
      <c r="D3" s="21">
        <v>18000</v>
      </c>
      <c r="E3" s="20">
        <v>0</v>
      </c>
      <c r="F3" s="20" t="s">
        <v>51</v>
      </c>
      <c r="G3" s="21">
        <f t="shared" si="0"/>
        <v>72000</v>
      </c>
      <c r="H3" s="21">
        <f t="shared" si="1"/>
        <v>72000</v>
      </c>
      <c r="I3" s="21">
        <f t="shared" si="2"/>
        <v>5400</v>
      </c>
      <c r="J3" s="21">
        <f t="shared" si="3"/>
        <v>77400</v>
      </c>
      <c r="K3" s="20" t="str">
        <f ca="1">IFERROR(_xludf.xlookup(B3,LOOKUP_TABLES!A:A,LOOKUP_TABLES!B:B,"Not Found"),"Error")</f>
        <v>Error</v>
      </c>
      <c r="L3" s="20">
        <f>IFERROR(INDEX(LOOKUP_TABLES!E:E,MATCH(B3,LOOKUP_TABLES!A:A,0)),"Not Found")</f>
        <v>12</v>
      </c>
    </row>
    <row r="4" spans="1:12" x14ac:dyDescent="0.3">
      <c r="A4" s="18" t="s">
        <v>53</v>
      </c>
      <c r="B4" s="18" t="s">
        <v>57</v>
      </c>
      <c r="C4" s="18">
        <v>2</v>
      </c>
      <c r="D4" s="19">
        <v>28000</v>
      </c>
      <c r="E4" s="18">
        <v>15</v>
      </c>
      <c r="F4" s="18" t="s">
        <v>44</v>
      </c>
      <c r="G4" s="19">
        <f t="shared" si="0"/>
        <v>56000</v>
      </c>
      <c r="H4" s="19">
        <f t="shared" si="1"/>
        <v>47600</v>
      </c>
      <c r="I4" s="19">
        <f t="shared" si="2"/>
        <v>3570</v>
      </c>
      <c r="J4" s="19">
        <f t="shared" si="3"/>
        <v>51170</v>
      </c>
      <c r="K4" s="18" t="str">
        <f ca="1">IFERROR(_xludf.xlookup(B4,LOOKUP_TABLES!A:A,LOOKUP_TABLES!B:B,"Not Found"),"Error")</f>
        <v>Error</v>
      </c>
      <c r="L4" s="18">
        <f>IFERROR(INDEX(LOOKUP_TABLES!E:E,MATCH(B4,LOOKUP_TABLES!A:A,0)),"Not Found")</f>
        <v>12</v>
      </c>
    </row>
    <row r="5" spans="1:12" x14ac:dyDescent="0.3">
      <c r="A5" s="20" t="s">
        <v>59</v>
      </c>
      <c r="B5" s="20" t="s">
        <v>61</v>
      </c>
      <c r="C5" s="20">
        <v>1</v>
      </c>
      <c r="D5" s="21">
        <v>22000</v>
      </c>
      <c r="E5" s="20">
        <v>0</v>
      </c>
      <c r="F5" s="20" t="s">
        <v>51</v>
      </c>
      <c r="G5" s="21">
        <f t="shared" si="0"/>
        <v>22000</v>
      </c>
      <c r="H5" s="21">
        <f t="shared" si="1"/>
        <v>22000</v>
      </c>
      <c r="I5" s="21">
        <f t="shared" si="2"/>
        <v>1650</v>
      </c>
      <c r="J5" s="21">
        <f t="shared" si="3"/>
        <v>23650</v>
      </c>
      <c r="K5" s="20" t="str">
        <f ca="1">IFERROR(_xludf.xlookup(B5,LOOKUP_TABLES!A:A,LOOKUP_TABLES!B:B,"Not Found"),"Error")</f>
        <v>Error</v>
      </c>
      <c r="L5" s="20">
        <f>IFERROR(INDEX(LOOKUP_TABLES!E:E,MATCH(B5,LOOKUP_TABLES!A:A,0)),"Not Found")</f>
        <v>12</v>
      </c>
    </row>
    <row r="6" spans="1:12" x14ac:dyDescent="0.3">
      <c r="A6" s="18" t="s">
        <v>63</v>
      </c>
      <c r="B6" s="18" t="s">
        <v>57</v>
      </c>
      <c r="C6" s="18">
        <v>6</v>
      </c>
      <c r="D6" s="19">
        <v>28000</v>
      </c>
      <c r="E6" s="18">
        <v>0</v>
      </c>
      <c r="F6" s="18" t="s">
        <v>51</v>
      </c>
      <c r="G6" s="19">
        <f t="shared" si="0"/>
        <v>168000</v>
      </c>
      <c r="H6" s="19">
        <f t="shared" si="1"/>
        <v>168000</v>
      </c>
      <c r="I6" s="19">
        <f t="shared" si="2"/>
        <v>12600</v>
      </c>
      <c r="J6" s="19">
        <f t="shared" si="3"/>
        <v>180600</v>
      </c>
      <c r="K6" s="18" t="str">
        <f ca="1">IFERROR(_xludf.xlookup(B6,LOOKUP_TABLES!A:A,LOOKUP_TABLES!B:B,"Not Found"),"Error")</f>
        <v>Error</v>
      </c>
      <c r="L6" s="18">
        <f>IFERROR(INDEX(LOOKUP_TABLES!E:E,MATCH(B6,LOOKUP_TABLES!A:A,0)),"Not Found")</f>
        <v>12</v>
      </c>
    </row>
    <row r="7" spans="1:12" x14ac:dyDescent="0.3">
      <c r="A7" s="20" t="s">
        <v>68</v>
      </c>
      <c r="B7" s="20" t="s">
        <v>50</v>
      </c>
      <c r="C7" s="20">
        <v>4</v>
      </c>
      <c r="D7" s="21">
        <v>18000</v>
      </c>
      <c r="E7" s="20">
        <v>20</v>
      </c>
      <c r="F7" s="20" t="s">
        <v>51</v>
      </c>
      <c r="G7" s="21">
        <f t="shared" si="0"/>
        <v>72000</v>
      </c>
      <c r="H7" s="21">
        <f t="shared" si="1"/>
        <v>57600</v>
      </c>
      <c r="I7" s="21">
        <f t="shared" si="2"/>
        <v>4320</v>
      </c>
      <c r="J7" s="21">
        <f t="shared" si="3"/>
        <v>61920</v>
      </c>
      <c r="K7" s="20" t="str">
        <f ca="1">IFERROR(_xludf.xlookup(B7,LOOKUP_TABLES!A:A,LOOKUP_TABLES!B:B,"Not Found"),"Error")</f>
        <v>Error</v>
      </c>
      <c r="L7" s="20">
        <f>IFERROR(INDEX(LOOKUP_TABLES!E:E,MATCH(B7,LOOKUP_TABLES!A:A,0)),"Not Found")</f>
        <v>12</v>
      </c>
    </row>
    <row r="8" spans="1:12" x14ac:dyDescent="0.3">
      <c r="A8" s="18" t="s">
        <v>73</v>
      </c>
      <c r="B8" s="18" t="s">
        <v>76</v>
      </c>
      <c r="C8" s="18">
        <v>11</v>
      </c>
      <c r="D8" s="19">
        <v>180000</v>
      </c>
      <c r="E8" s="18">
        <v>10</v>
      </c>
      <c r="F8" s="18" t="s">
        <v>51</v>
      </c>
      <c r="G8" s="19">
        <f t="shared" si="0"/>
        <v>1980000</v>
      </c>
      <c r="H8" s="19">
        <f t="shared" si="1"/>
        <v>1782000</v>
      </c>
      <c r="I8" s="19">
        <f t="shared" si="2"/>
        <v>133650</v>
      </c>
      <c r="J8" s="19">
        <f t="shared" si="3"/>
        <v>1915650</v>
      </c>
      <c r="K8" s="18" t="str">
        <f ca="1">IFERROR(_xludf.xlookup(B8,LOOKUP_TABLES!A:A,LOOKUP_TABLES!B:B,"Not Found"),"Error")</f>
        <v>Error</v>
      </c>
      <c r="L8" s="18">
        <f>IFERROR(INDEX(LOOKUP_TABLES!E:E,MATCH(B8,LOOKUP_TABLES!A:A,0)),"Not Found")</f>
        <v>12</v>
      </c>
    </row>
    <row r="9" spans="1:12" x14ac:dyDescent="0.3">
      <c r="A9" s="20" t="s">
        <v>79</v>
      </c>
      <c r="B9" s="20" t="s">
        <v>82</v>
      </c>
      <c r="C9" s="20">
        <v>7</v>
      </c>
      <c r="D9" s="21">
        <v>220000</v>
      </c>
      <c r="E9" s="20">
        <v>0</v>
      </c>
      <c r="F9" s="20" t="s">
        <v>51</v>
      </c>
      <c r="G9" s="21">
        <f t="shared" si="0"/>
        <v>1540000</v>
      </c>
      <c r="H9" s="21">
        <f t="shared" si="1"/>
        <v>1540000</v>
      </c>
      <c r="I9" s="21">
        <f t="shared" si="2"/>
        <v>115500</v>
      </c>
      <c r="J9" s="21">
        <f t="shared" si="3"/>
        <v>1655500</v>
      </c>
      <c r="K9" s="20" t="str">
        <f ca="1">IFERROR(_xludf.xlookup(B9,LOOKUP_TABLES!A:A,LOOKUP_TABLES!B:B,"Not Found"),"Error")</f>
        <v>Error</v>
      </c>
      <c r="L9" s="20">
        <f>IFERROR(INDEX(LOOKUP_TABLES!E:E,MATCH(B9,LOOKUP_TABLES!A:A,0)),"Not Found")</f>
        <v>12</v>
      </c>
    </row>
    <row r="10" spans="1:12" x14ac:dyDescent="0.3">
      <c r="A10" s="18" t="s">
        <v>84</v>
      </c>
      <c r="B10" s="18" t="s">
        <v>61</v>
      </c>
      <c r="C10" s="18">
        <v>8</v>
      </c>
      <c r="D10" s="19">
        <v>22000</v>
      </c>
      <c r="E10" s="18">
        <v>0</v>
      </c>
      <c r="F10" s="18" t="s">
        <v>86</v>
      </c>
      <c r="G10" s="19">
        <f t="shared" si="0"/>
        <v>176000</v>
      </c>
      <c r="H10" s="19">
        <f t="shared" si="1"/>
        <v>176000</v>
      </c>
      <c r="I10" s="19">
        <f t="shared" si="2"/>
        <v>13200</v>
      </c>
      <c r="J10" s="19">
        <f t="shared" si="3"/>
        <v>189200</v>
      </c>
      <c r="K10" s="18" t="str">
        <f ca="1">IFERROR(_xludf.xlookup(B10,LOOKUP_TABLES!A:A,LOOKUP_TABLES!B:B,"Not Found"),"Error")</f>
        <v>Error</v>
      </c>
      <c r="L10" s="18">
        <f>IFERROR(INDEX(LOOKUP_TABLES!E:E,MATCH(B10,LOOKUP_TABLES!A:A,0)),"Not Found")</f>
        <v>12</v>
      </c>
    </row>
    <row r="11" spans="1:12" x14ac:dyDescent="0.3">
      <c r="A11" s="20" t="s">
        <v>88</v>
      </c>
      <c r="B11" s="20" t="s">
        <v>76</v>
      </c>
      <c r="C11" s="20">
        <v>10</v>
      </c>
      <c r="D11" s="21">
        <v>180000</v>
      </c>
      <c r="E11" s="20">
        <v>5</v>
      </c>
      <c r="F11" s="20" t="s">
        <v>44</v>
      </c>
      <c r="G11" s="21">
        <f t="shared" si="0"/>
        <v>1800000</v>
      </c>
      <c r="H11" s="21">
        <f t="shared" si="1"/>
        <v>1710000</v>
      </c>
      <c r="I11" s="21">
        <f t="shared" si="2"/>
        <v>128250</v>
      </c>
      <c r="J11" s="21">
        <f t="shared" si="3"/>
        <v>1838250</v>
      </c>
      <c r="K11" s="20" t="str">
        <f ca="1">IFERROR(_xludf.xlookup(B11,LOOKUP_TABLES!A:A,LOOKUP_TABLES!B:B,"Not Found"),"Error")</f>
        <v>Error</v>
      </c>
      <c r="L11" s="20">
        <f>IFERROR(INDEX(LOOKUP_TABLES!E:E,MATCH(B11,LOOKUP_TABLES!A:A,0)),"Not Found")</f>
        <v>12</v>
      </c>
    </row>
    <row r="12" spans="1:12" x14ac:dyDescent="0.3">
      <c r="A12" s="18" t="s">
        <v>90</v>
      </c>
      <c r="B12" s="18" t="s">
        <v>92</v>
      </c>
      <c r="C12" s="18">
        <v>19</v>
      </c>
      <c r="D12" s="19">
        <v>450000</v>
      </c>
      <c r="E12" s="18">
        <v>10</v>
      </c>
      <c r="F12" s="18" t="s">
        <v>51</v>
      </c>
      <c r="G12" s="19">
        <f t="shared" si="0"/>
        <v>8550000</v>
      </c>
      <c r="H12" s="19">
        <f t="shared" si="1"/>
        <v>7695000</v>
      </c>
      <c r="I12" s="19">
        <f t="shared" si="2"/>
        <v>577125</v>
      </c>
      <c r="J12" s="19">
        <f t="shared" si="3"/>
        <v>8272125</v>
      </c>
      <c r="K12" s="18" t="str">
        <f ca="1">IFERROR(_xludf.xlookup(B12,LOOKUP_TABLES!A:A,LOOKUP_TABLES!B:B,"Not Found"),"Error")</f>
        <v>Error</v>
      </c>
      <c r="L12" s="18">
        <f>IFERROR(INDEX(LOOKUP_TABLES!E:E,MATCH(B12,LOOKUP_TABLES!A:A,0)),"Not Found")</f>
        <v>24</v>
      </c>
    </row>
    <row r="13" spans="1:12" x14ac:dyDescent="0.3">
      <c r="A13" s="20" t="s">
        <v>94</v>
      </c>
      <c r="B13" s="20" t="s">
        <v>57</v>
      </c>
      <c r="C13" s="20">
        <v>20</v>
      </c>
      <c r="D13" s="21">
        <v>28000</v>
      </c>
      <c r="E13" s="20">
        <v>10</v>
      </c>
      <c r="F13" s="20" t="s">
        <v>51</v>
      </c>
      <c r="G13" s="21">
        <f t="shared" si="0"/>
        <v>560000</v>
      </c>
      <c r="H13" s="21">
        <f t="shared" si="1"/>
        <v>504000</v>
      </c>
      <c r="I13" s="21">
        <f t="shared" si="2"/>
        <v>37800</v>
      </c>
      <c r="J13" s="21">
        <f t="shared" si="3"/>
        <v>541800</v>
      </c>
      <c r="K13" s="20" t="str">
        <f ca="1">IFERROR(_xludf.xlookup(B13,LOOKUP_TABLES!A:A,LOOKUP_TABLES!B:B,"Not Found"),"Error")</f>
        <v>Error</v>
      </c>
      <c r="L13" s="20">
        <f>IFERROR(INDEX(LOOKUP_TABLES!E:E,MATCH(B13,LOOKUP_TABLES!A:A,0)),"Not Found")</f>
        <v>12</v>
      </c>
    </row>
    <row r="14" spans="1:12" x14ac:dyDescent="0.3">
      <c r="A14" s="18" t="s">
        <v>97</v>
      </c>
      <c r="B14" s="18" t="s">
        <v>99</v>
      </c>
      <c r="C14" s="18">
        <v>15</v>
      </c>
      <c r="D14" s="19">
        <v>95000</v>
      </c>
      <c r="E14" s="18">
        <v>0</v>
      </c>
      <c r="F14" s="18" t="s">
        <v>51</v>
      </c>
      <c r="G14" s="19">
        <f t="shared" si="0"/>
        <v>1425000</v>
      </c>
      <c r="H14" s="19">
        <f t="shared" si="1"/>
        <v>1425000</v>
      </c>
      <c r="I14" s="19">
        <f t="shared" si="2"/>
        <v>106875</v>
      </c>
      <c r="J14" s="19">
        <f t="shared" si="3"/>
        <v>1531875</v>
      </c>
      <c r="K14" s="18" t="str">
        <f ca="1">IFERROR(_xludf.xlookup(B14,LOOKUP_TABLES!A:A,LOOKUP_TABLES!B:B,"Not Found"),"Error")</f>
        <v>Error</v>
      </c>
      <c r="L14" s="18">
        <f>IFERROR(INDEX(LOOKUP_TABLES!E:E,MATCH(B14,LOOKUP_TABLES!A:A,0)),"Not Found")</f>
        <v>24</v>
      </c>
    </row>
    <row r="15" spans="1:12" x14ac:dyDescent="0.3">
      <c r="A15" s="20" t="s">
        <v>101</v>
      </c>
      <c r="B15" s="20" t="s">
        <v>82</v>
      </c>
      <c r="C15" s="20">
        <v>16</v>
      </c>
      <c r="D15" s="21">
        <v>220000</v>
      </c>
      <c r="E15" s="20">
        <v>20</v>
      </c>
      <c r="F15" s="20" t="s">
        <v>51</v>
      </c>
      <c r="G15" s="21">
        <f t="shared" si="0"/>
        <v>3520000</v>
      </c>
      <c r="H15" s="21">
        <f t="shared" si="1"/>
        <v>2816000</v>
      </c>
      <c r="I15" s="21">
        <f t="shared" si="2"/>
        <v>211200</v>
      </c>
      <c r="J15" s="21">
        <f t="shared" si="3"/>
        <v>3027200</v>
      </c>
      <c r="K15" s="20" t="str">
        <f ca="1">IFERROR(_xludf.xlookup(B15,LOOKUP_TABLES!A:A,LOOKUP_TABLES!B:B,"Not Found"),"Error")</f>
        <v>Error</v>
      </c>
      <c r="L15" s="20">
        <f>IFERROR(INDEX(LOOKUP_TABLES!E:E,MATCH(B15,LOOKUP_TABLES!A:A,0)),"Not Found")</f>
        <v>12</v>
      </c>
    </row>
    <row r="16" spans="1:12" x14ac:dyDescent="0.3">
      <c r="A16" s="18" t="s">
        <v>104</v>
      </c>
      <c r="B16" s="18" t="s">
        <v>92</v>
      </c>
      <c r="C16" s="18">
        <v>18</v>
      </c>
      <c r="D16" s="19">
        <v>450000</v>
      </c>
      <c r="E16" s="18">
        <v>15</v>
      </c>
      <c r="F16" s="18" t="s">
        <v>51</v>
      </c>
      <c r="G16" s="19">
        <f t="shared" si="0"/>
        <v>8100000</v>
      </c>
      <c r="H16" s="19">
        <f t="shared" si="1"/>
        <v>6885000</v>
      </c>
      <c r="I16" s="19">
        <f t="shared" si="2"/>
        <v>516375</v>
      </c>
      <c r="J16" s="19">
        <f t="shared" si="3"/>
        <v>7401375</v>
      </c>
      <c r="K16" s="18" t="str">
        <f ca="1">IFERROR(_xludf.xlookup(B16,LOOKUP_TABLES!A:A,LOOKUP_TABLES!B:B,"Not Found"),"Error")</f>
        <v>Error</v>
      </c>
      <c r="L16" s="18">
        <f>IFERROR(INDEX(LOOKUP_TABLES!E:E,MATCH(B16,LOOKUP_TABLES!A:A,0)),"Not Found")</f>
        <v>24</v>
      </c>
    </row>
    <row r="17" spans="1:12" x14ac:dyDescent="0.3">
      <c r="A17" s="20" t="s">
        <v>107</v>
      </c>
      <c r="B17" s="20" t="s">
        <v>82</v>
      </c>
      <c r="C17" s="20">
        <v>10</v>
      </c>
      <c r="D17" s="21">
        <v>220000</v>
      </c>
      <c r="E17" s="20">
        <v>10</v>
      </c>
      <c r="F17" s="20" t="s">
        <v>51</v>
      </c>
      <c r="G17" s="21">
        <f t="shared" si="0"/>
        <v>2200000</v>
      </c>
      <c r="H17" s="21">
        <f t="shared" si="1"/>
        <v>1980000</v>
      </c>
      <c r="I17" s="21">
        <f t="shared" si="2"/>
        <v>148500</v>
      </c>
      <c r="J17" s="21">
        <f t="shared" si="3"/>
        <v>2128500</v>
      </c>
      <c r="K17" s="20" t="str">
        <f ca="1">IFERROR(_xludf.xlookup(B17,LOOKUP_TABLES!A:A,LOOKUP_TABLES!B:B,"Not Found"),"Error")</f>
        <v>Error</v>
      </c>
      <c r="L17" s="20">
        <f>IFERROR(INDEX(LOOKUP_TABLES!E:E,MATCH(B17,LOOKUP_TABLES!A:A,0)),"Not Found")</f>
        <v>12</v>
      </c>
    </row>
    <row r="18" spans="1:12" x14ac:dyDescent="0.3">
      <c r="A18" s="18" t="s">
        <v>111</v>
      </c>
      <c r="B18" s="18" t="s">
        <v>92</v>
      </c>
      <c r="C18" s="18">
        <v>16</v>
      </c>
      <c r="D18" s="19">
        <v>450000</v>
      </c>
      <c r="E18" s="18">
        <v>0</v>
      </c>
      <c r="F18" s="18" t="s">
        <v>86</v>
      </c>
      <c r="G18" s="19">
        <f t="shared" si="0"/>
        <v>7200000</v>
      </c>
      <c r="H18" s="19">
        <f t="shared" si="1"/>
        <v>7200000</v>
      </c>
      <c r="I18" s="19">
        <f t="shared" si="2"/>
        <v>540000</v>
      </c>
      <c r="J18" s="19">
        <f t="shared" si="3"/>
        <v>7740000</v>
      </c>
      <c r="K18" s="18" t="str">
        <f ca="1">IFERROR(_xludf.xlookup(B18,LOOKUP_TABLES!A:A,LOOKUP_TABLES!B:B,"Not Found"),"Error")</f>
        <v>Error</v>
      </c>
      <c r="L18" s="18">
        <f>IFERROR(INDEX(LOOKUP_TABLES!E:E,MATCH(B18,LOOKUP_TABLES!A:A,0)),"Not Found")</f>
        <v>24</v>
      </c>
    </row>
    <row r="19" spans="1:12" x14ac:dyDescent="0.3">
      <c r="A19" s="20" t="s">
        <v>113</v>
      </c>
      <c r="B19" s="20" t="s">
        <v>61</v>
      </c>
      <c r="C19" s="20">
        <v>10</v>
      </c>
      <c r="D19" s="21">
        <v>22000</v>
      </c>
      <c r="E19" s="20">
        <v>5</v>
      </c>
      <c r="F19" s="20" t="s">
        <v>51</v>
      </c>
      <c r="G19" s="21">
        <f t="shared" si="0"/>
        <v>220000</v>
      </c>
      <c r="H19" s="21">
        <f t="shared" si="1"/>
        <v>209000</v>
      </c>
      <c r="I19" s="21">
        <f t="shared" si="2"/>
        <v>15675</v>
      </c>
      <c r="J19" s="21">
        <f t="shared" si="3"/>
        <v>224675</v>
      </c>
      <c r="K19" s="20" t="str">
        <f ca="1">IFERROR(_xludf.xlookup(B19,LOOKUP_TABLES!A:A,LOOKUP_TABLES!B:B,"Not Found"),"Error")</f>
        <v>Error</v>
      </c>
      <c r="L19" s="20">
        <f>IFERROR(INDEX(LOOKUP_TABLES!E:E,MATCH(B19,LOOKUP_TABLES!A:A,0)),"Not Found")</f>
        <v>12</v>
      </c>
    </row>
    <row r="20" spans="1:12" x14ac:dyDescent="0.3">
      <c r="A20" s="18" t="s">
        <v>116</v>
      </c>
      <c r="B20" s="18" t="s">
        <v>57</v>
      </c>
      <c r="C20" s="18">
        <v>14</v>
      </c>
      <c r="D20" s="19">
        <v>28000</v>
      </c>
      <c r="E20" s="18">
        <v>0</v>
      </c>
      <c r="F20" s="18" t="s">
        <v>51</v>
      </c>
      <c r="G20" s="19">
        <f t="shared" si="0"/>
        <v>392000</v>
      </c>
      <c r="H20" s="19">
        <f t="shared" si="1"/>
        <v>392000</v>
      </c>
      <c r="I20" s="19">
        <f t="shared" si="2"/>
        <v>29400</v>
      </c>
      <c r="J20" s="19">
        <f t="shared" si="3"/>
        <v>421400</v>
      </c>
      <c r="K20" s="18" t="str">
        <f ca="1">IFERROR(_xludf.xlookup(B20,LOOKUP_TABLES!A:A,LOOKUP_TABLES!B:B,"Not Found"),"Error")</f>
        <v>Error</v>
      </c>
      <c r="L20" s="18">
        <f>IFERROR(INDEX(LOOKUP_TABLES!E:E,MATCH(B20,LOOKUP_TABLES!A:A,0)),"Not Found")</f>
        <v>12</v>
      </c>
    </row>
    <row r="21" spans="1:12" x14ac:dyDescent="0.3">
      <c r="A21" s="20" t="s">
        <v>119</v>
      </c>
      <c r="B21" s="20" t="s">
        <v>61</v>
      </c>
      <c r="C21" s="20">
        <v>8</v>
      </c>
      <c r="D21" s="21">
        <v>22000</v>
      </c>
      <c r="E21" s="20">
        <v>5</v>
      </c>
      <c r="F21" s="20" t="s">
        <v>51</v>
      </c>
      <c r="G21" s="21">
        <f t="shared" si="0"/>
        <v>176000</v>
      </c>
      <c r="H21" s="21">
        <f t="shared" si="1"/>
        <v>167200</v>
      </c>
      <c r="I21" s="21">
        <f t="shared" si="2"/>
        <v>12540</v>
      </c>
      <c r="J21" s="21">
        <f t="shared" si="3"/>
        <v>179740</v>
      </c>
      <c r="K21" s="20" t="str">
        <f ca="1">IFERROR(_xludf.xlookup(B21,LOOKUP_TABLES!A:A,LOOKUP_TABLES!B:B,"Not Found"),"Error")</f>
        <v>Error</v>
      </c>
      <c r="L21" s="20">
        <f>IFERROR(INDEX(LOOKUP_TABLES!E:E,MATCH(B21,LOOKUP_TABLES!A:A,0)),"Not Found")</f>
        <v>12</v>
      </c>
    </row>
    <row r="22" spans="1:12" x14ac:dyDescent="0.3">
      <c r="A22" s="18" t="s">
        <v>121</v>
      </c>
      <c r="B22" s="18" t="s">
        <v>50</v>
      </c>
      <c r="C22" s="18">
        <v>19</v>
      </c>
      <c r="D22" s="19">
        <v>18000</v>
      </c>
      <c r="E22" s="18">
        <v>15</v>
      </c>
      <c r="F22" s="18" t="s">
        <v>51</v>
      </c>
      <c r="G22" s="19">
        <f t="shared" si="0"/>
        <v>342000</v>
      </c>
      <c r="H22" s="19">
        <f t="shared" si="1"/>
        <v>290700</v>
      </c>
      <c r="I22" s="19">
        <f t="shared" si="2"/>
        <v>21802.5</v>
      </c>
      <c r="J22" s="19">
        <f t="shared" si="3"/>
        <v>312502.5</v>
      </c>
      <c r="K22" s="18" t="str">
        <f ca="1">IFERROR(_xludf.xlookup(B22,LOOKUP_TABLES!A:A,LOOKUP_TABLES!B:B,"Not Found"),"Error")</f>
        <v>Error</v>
      </c>
      <c r="L22" s="18">
        <f>IFERROR(INDEX(LOOKUP_TABLES!E:E,MATCH(B22,LOOKUP_TABLES!A:A,0)),"Not Found")</f>
        <v>12</v>
      </c>
    </row>
    <row r="23" spans="1:12" x14ac:dyDescent="0.3">
      <c r="A23" s="20" t="s">
        <v>124</v>
      </c>
      <c r="B23" s="20" t="s">
        <v>76</v>
      </c>
      <c r="C23" s="20">
        <v>12</v>
      </c>
      <c r="D23" s="21">
        <v>180000</v>
      </c>
      <c r="E23" s="20">
        <v>0</v>
      </c>
      <c r="F23" s="20" t="s">
        <v>51</v>
      </c>
      <c r="G23" s="21">
        <f t="shared" si="0"/>
        <v>2160000</v>
      </c>
      <c r="H23" s="21">
        <f t="shared" si="1"/>
        <v>2160000</v>
      </c>
      <c r="I23" s="21">
        <f t="shared" si="2"/>
        <v>162000</v>
      </c>
      <c r="J23" s="21">
        <f t="shared" si="3"/>
        <v>2322000</v>
      </c>
      <c r="K23" s="20" t="str">
        <f ca="1">IFERROR(_xludf.xlookup(B23,LOOKUP_TABLES!A:A,LOOKUP_TABLES!B:B,"Not Found"),"Error")</f>
        <v>Error</v>
      </c>
      <c r="L23" s="20">
        <f>IFERROR(INDEX(LOOKUP_TABLES!E:E,MATCH(B23,LOOKUP_TABLES!A:A,0)),"Not Found")</f>
        <v>12</v>
      </c>
    </row>
    <row r="24" spans="1:12" x14ac:dyDescent="0.3">
      <c r="A24" s="18" t="s">
        <v>116</v>
      </c>
      <c r="B24" s="18" t="s">
        <v>57</v>
      </c>
      <c r="C24" s="18">
        <v>14</v>
      </c>
      <c r="D24" s="19">
        <v>28000</v>
      </c>
      <c r="E24" s="18">
        <v>0</v>
      </c>
      <c r="F24" s="18" t="s">
        <v>51</v>
      </c>
      <c r="G24" s="19">
        <f t="shared" si="0"/>
        <v>392000</v>
      </c>
      <c r="H24" s="19">
        <f t="shared" si="1"/>
        <v>392000</v>
      </c>
      <c r="I24" s="19">
        <f t="shared" si="2"/>
        <v>29400</v>
      </c>
      <c r="J24" s="19">
        <f t="shared" si="3"/>
        <v>421400</v>
      </c>
      <c r="K24" s="18" t="str">
        <f ca="1">IFERROR(_xludf.xlookup(B24,LOOKUP_TABLES!A:A,LOOKUP_TABLES!B:B,"Not Found"),"Error")</f>
        <v>Error</v>
      </c>
      <c r="L24" s="18">
        <f>IFERROR(INDEX(LOOKUP_TABLES!E:E,MATCH(B24,LOOKUP_TABLES!A:A,0)),"Not Found")</f>
        <v>12</v>
      </c>
    </row>
    <row r="25" spans="1:12" x14ac:dyDescent="0.3">
      <c r="A25" s="20" t="s">
        <v>126</v>
      </c>
      <c r="B25" s="20" t="s">
        <v>57</v>
      </c>
      <c r="C25" s="20">
        <v>19</v>
      </c>
      <c r="D25" s="21">
        <v>28000</v>
      </c>
      <c r="E25" s="20">
        <v>15</v>
      </c>
      <c r="F25" s="20" t="s">
        <v>51</v>
      </c>
      <c r="G25" s="21">
        <f t="shared" si="0"/>
        <v>532000</v>
      </c>
      <c r="H25" s="21">
        <f t="shared" si="1"/>
        <v>452200</v>
      </c>
      <c r="I25" s="21">
        <f t="shared" si="2"/>
        <v>33915</v>
      </c>
      <c r="J25" s="21">
        <f t="shared" si="3"/>
        <v>486115</v>
      </c>
      <c r="K25" s="20" t="str">
        <f ca="1">IFERROR(_xludf.xlookup(B25,LOOKUP_TABLES!A:A,LOOKUP_TABLES!B:B,"Not Found"),"Error")</f>
        <v>Error</v>
      </c>
      <c r="L25" s="20">
        <f>IFERROR(INDEX(LOOKUP_TABLES!E:E,MATCH(B25,LOOKUP_TABLES!A:A,0)),"Not Found")</f>
        <v>12</v>
      </c>
    </row>
    <row r="26" spans="1:12" x14ac:dyDescent="0.3">
      <c r="A26" s="18" t="s">
        <v>128</v>
      </c>
      <c r="B26" s="18" t="s">
        <v>82</v>
      </c>
      <c r="C26" s="18">
        <v>19</v>
      </c>
      <c r="D26" s="19">
        <v>220000</v>
      </c>
      <c r="E26" s="18">
        <v>5</v>
      </c>
      <c r="F26" s="18" t="s">
        <v>131</v>
      </c>
      <c r="G26" s="19">
        <f t="shared" si="0"/>
        <v>4180000</v>
      </c>
      <c r="H26" s="19">
        <f t="shared" si="1"/>
        <v>3971000</v>
      </c>
      <c r="I26" s="19">
        <f t="shared" si="2"/>
        <v>297825</v>
      </c>
      <c r="J26" s="19">
        <f t="shared" si="3"/>
        <v>4268825</v>
      </c>
      <c r="K26" s="18" t="str">
        <f ca="1">IFERROR(_xludf.xlookup(B26,LOOKUP_TABLES!A:A,LOOKUP_TABLES!B:B,"Not Found"),"Error")</f>
        <v>Error</v>
      </c>
      <c r="L26" s="18">
        <f>IFERROR(INDEX(LOOKUP_TABLES!E:E,MATCH(B26,LOOKUP_TABLES!A:A,0)),"Not Found")</f>
        <v>12</v>
      </c>
    </row>
    <row r="27" spans="1:12" x14ac:dyDescent="0.3">
      <c r="A27" s="20" t="s">
        <v>133</v>
      </c>
      <c r="B27" s="20" t="s">
        <v>50</v>
      </c>
      <c r="C27" s="20">
        <v>2</v>
      </c>
      <c r="D27" s="21">
        <v>18000</v>
      </c>
      <c r="E27" s="20">
        <v>0</v>
      </c>
      <c r="F27" s="20" t="s">
        <v>51</v>
      </c>
      <c r="G27" s="21">
        <f t="shared" si="0"/>
        <v>36000</v>
      </c>
      <c r="H27" s="21">
        <f t="shared" si="1"/>
        <v>36000</v>
      </c>
      <c r="I27" s="21">
        <f t="shared" si="2"/>
        <v>2700</v>
      </c>
      <c r="J27" s="21">
        <f t="shared" si="3"/>
        <v>38700</v>
      </c>
      <c r="K27" s="20" t="str">
        <f ca="1">IFERROR(_xludf.xlookup(B27,LOOKUP_TABLES!A:A,LOOKUP_TABLES!B:B,"Not Found"),"Error")</f>
        <v>Error</v>
      </c>
      <c r="L27" s="20">
        <f>IFERROR(INDEX(LOOKUP_TABLES!E:E,MATCH(B27,LOOKUP_TABLES!A:A,0)),"Not Found")</f>
        <v>12</v>
      </c>
    </row>
    <row r="28" spans="1:12" x14ac:dyDescent="0.3">
      <c r="A28" s="18" t="s">
        <v>135</v>
      </c>
      <c r="B28" s="18" t="s">
        <v>61</v>
      </c>
      <c r="C28" s="18">
        <v>10</v>
      </c>
      <c r="D28" s="19">
        <v>22000</v>
      </c>
      <c r="E28" s="18">
        <v>0</v>
      </c>
      <c r="F28" s="18" t="s">
        <v>44</v>
      </c>
      <c r="G28" s="19">
        <f t="shared" si="0"/>
        <v>220000</v>
      </c>
      <c r="H28" s="19">
        <f t="shared" si="1"/>
        <v>220000</v>
      </c>
      <c r="I28" s="19">
        <f t="shared" si="2"/>
        <v>16500</v>
      </c>
      <c r="J28" s="19">
        <f t="shared" si="3"/>
        <v>236500</v>
      </c>
      <c r="K28" s="18" t="str">
        <f ca="1">IFERROR(_xludf.xlookup(B28,LOOKUP_TABLES!A:A,LOOKUP_TABLES!B:B,"Not Found"),"Error")</f>
        <v>Error</v>
      </c>
      <c r="L28" s="18">
        <f>IFERROR(INDEX(LOOKUP_TABLES!E:E,MATCH(B28,LOOKUP_TABLES!A:A,0)),"Not Found")</f>
        <v>12</v>
      </c>
    </row>
    <row r="29" spans="1:12" x14ac:dyDescent="0.3">
      <c r="A29" s="20" t="s">
        <v>139</v>
      </c>
      <c r="B29" s="20" t="s">
        <v>76</v>
      </c>
      <c r="C29" s="20">
        <v>15</v>
      </c>
      <c r="D29" s="21">
        <v>180000</v>
      </c>
      <c r="E29" s="20">
        <v>0</v>
      </c>
      <c r="F29" s="20" t="s">
        <v>131</v>
      </c>
      <c r="G29" s="21">
        <f t="shared" si="0"/>
        <v>2700000</v>
      </c>
      <c r="H29" s="21">
        <f t="shared" si="1"/>
        <v>2700000</v>
      </c>
      <c r="I29" s="21">
        <f t="shared" si="2"/>
        <v>202500</v>
      </c>
      <c r="J29" s="21">
        <f t="shared" si="3"/>
        <v>2902500</v>
      </c>
      <c r="K29" s="20" t="str">
        <f ca="1">IFERROR(_xludf.xlookup(B29,LOOKUP_TABLES!A:A,LOOKUP_TABLES!B:B,"Not Found"),"Error")</f>
        <v>Error</v>
      </c>
      <c r="L29" s="20">
        <f>IFERROR(INDEX(LOOKUP_TABLES!E:E,MATCH(B29,LOOKUP_TABLES!A:A,0)),"Not Found")</f>
        <v>12</v>
      </c>
    </row>
    <row r="30" spans="1:12" x14ac:dyDescent="0.3">
      <c r="A30" s="18" t="s">
        <v>143</v>
      </c>
      <c r="B30" s="18" t="s">
        <v>92</v>
      </c>
      <c r="C30" s="18">
        <v>15</v>
      </c>
      <c r="D30" s="19">
        <v>450000</v>
      </c>
      <c r="E30" s="18">
        <v>10</v>
      </c>
      <c r="F30" s="18" t="s">
        <v>51</v>
      </c>
      <c r="G30" s="19">
        <f t="shared" si="0"/>
        <v>6750000</v>
      </c>
      <c r="H30" s="19">
        <f t="shared" si="1"/>
        <v>6075000</v>
      </c>
      <c r="I30" s="19">
        <f t="shared" si="2"/>
        <v>455625</v>
      </c>
      <c r="J30" s="19">
        <f t="shared" si="3"/>
        <v>6530625</v>
      </c>
      <c r="K30" s="18" t="str">
        <f ca="1">IFERROR(_xludf.xlookup(B30,LOOKUP_TABLES!A:A,LOOKUP_TABLES!B:B,"Not Found"),"Error")</f>
        <v>Error</v>
      </c>
      <c r="L30" s="18">
        <f>IFERROR(INDEX(LOOKUP_TABLES!E:E,MATCH(B30,LOOKUP_TABLES!A:A,0)),"Not Found")</f>
        <v>24</v>
      </c>
    </row>
    <row r="31" spans="1:12" x14ac:dyDescent="0.3">
      <c r="A31" s="20" t="s">
        <v>145</v>
      </c>
      <c r="B31" s="20" t="s">
        <v>82</v>
      </c>
      <c r="C31" s="20">
        <v>18</v>
      </c>
      <c r="D31" s="21">
        <v>220000</v>
      </c>
      <c r="E31" s="20">
        <v>20</v>
      </c>
      <c r="F31" s="20" t="s">
        <v>51</v>
      </c>
      <c r="G31" s="21">
        <f t="shared" si="0"/>
        <v>3960000</v>
      </c>
      <c r="H31" s="21">
        <f t="shared" si="1"/>
        <v>3168000</v>
      </c>
      <c r="I31" s="21">
        <f t="shared" si="2"/>
        <v>237600</v>
      </c>
      <c r="J31" s="21">
        <f t="shared" si="3"/>
        <v>3405600</v>
      </c>
      <c r="K31" s="20" t="str">
        <f ca="1">IFERROR(_xludf.xlookup(B31,LOOKUP_TABLES!A:A,LOOKUP_TABLES!B:B,"Not Found"),"Error")</f>
        <v>Error</v>
      </c>
      <c r="L31" s="20">
        <f>IFERROR(INDEX(LOOKUP_TABLES!E:E,MATCH(B31,LOOKUP_TABLES!A:A,0)),"Not Found")</f>
        <v>12</v>
      </c>
    </row>
    <row r="32" spans="1:12" x14ac:dyDescent="0.3">
      <c r="A32" s="18" t="s">
        <v>147</v>
      </c>
      <c r="B32" s="18" t="s">
        <v>99</v>
      </c>
      <c r="C32" s="18">
        <v>5</v>
      </c>
      <c r="D32" s="19">
        <v>95000</v>
      </c>
      <c r="E32" s="18">
        <v>15</v>
      </c>
      <c r="F32" s="18" t="s">
        <v>86</v>
      </c>
      <c r="G32" s="19">
        <f t="shared" si="0"/>
        <v>475000</v>
      </c>
      <c r="H32" s="19">
        <f t="shared" si="1"/>
        <v>403750</v>
      </c>
      <c r="I32" s="19">
        <f t="shared" si="2"/>
        <v>30281.25</v>
      </c>
      <c r="J32" s="19">
        <f t="shared" si="3"/>
        <v>434031.25</v>
      </c>
      <c r="K32" s="18" t="str">
        <f ca="1">IFERROR(_xludf.xlookup(B32,LOOKUP_TABLES!A:A,LOOKUP_TABLES!B:B,"Not Found"),"Error")</f>
        <v>Error</v>
      </c>
      <c r="L32" s="18">
        <f>IFERROR(INDEX(LOOKUP_TABLES!E:E,MATCH(B32,LOOKUP_TABLES!A:A,0)),"Not Found")</f>
        <v>24</v>
      </c>
    </row>
    <row r="33" spans="1:12" x14ac:dyDescent="0.3">
      <c r="A33" s="20" t="s">
        <v>150</v>
      </c>
      <c r="B33" s="20" t="s">
        <v>50</v>
      </c>
      <c r="C33" s="20">
        <v>7</v>
      </c>
      <c r="D33" s="21">
        <v>18000</v>
      </c>
      <c r="E33" s="20">
        <v>0</v>
      </c>
      <c r="F33" s="20" t="s">
        <v>51</v>
      </c>
      <c r="G33" s="21">
        <f t="shared" si="0"/>
        <v>126000</v>
      </c>
      <c r="H33" s="21">
        <f t="shared" si="1"/>
        <v>126000</v>
      </c>
      <c r="I33" s="21">
        <f t="shared" si="2"/>
        <v>9450</v>
      </c>
      <c r="J33" s="21">
        <f t="shared" si="3"/>
        <v>135450</v>
      </c>
      <c r="K33" s="20" t="str">
        <f ca="1">IFERROR(_xludf.xlookup(B33,LOOKUP_TABLES!A:A,LOOKUP_TABLES!B:B,"Not Found"),"Error")</f>
        <v>Error</v>
      </c>
      <c r="L33" s="20">
        <f>IFERROR(INDEX(LOOKUP_TABLES!E:E,MATCH(B33,LOOKUP_TABLES!A:A,0)),"Not Found")</f>
        <v>12</v>
      </c>
    </row>
    <row r="34" spans="1:12" x14ac:dyDescent="0.3">
      <c r="A34" s="18" t="s">
        <v>152</v>
      </c>
      <c r="B34" s="18" t="s">
        <v>76</v>
      </c>
      <c r="C34" s="18">
        <v>19</v>
      </c>
      <c r="D34" s="19">
        <v>180000</v>
      </c>
      <c r="E34" s="18">
        <v>0</v>
      </c>
      <c r="F34" s="18" t="s">
        <v>51</v>
      </c>
      <c r="G34" s="19">
        <f t="shared" ref="G34:G51" si="4">C34*D34</f>
        <v>3420000</v>
      </c>
      <c r="H34" s="19">
        <f t="shared" ref="H34:H51" si="5">G34*(1-E34/100)</f>
        <v>3420000</v>
      </c>
      <c r="I34" s="19">
        <f t="shared" ref="I34:I51" si="6">H34*0.075</f>
        <v>256500</v>
      </c>
      <c r="J34" s="19">
        <f t="shared" ref="J34:J51" si="7">H34+I34</f>
        <v>3676500</v>
      </c>
      <c r="K34" s="18" t="str">
        <f ca="1">IFERROR(_xludf.xlookup(B34,LOOKUP_TABLES!A:A,LOOKUP_TABLES!B:B,"Not Found"),"Error")</f>
        <v>Error</v>
      </c>
      <c r="L34" s="18">
        <f>IFERROR(INDEX(LOOKUP_TABLES!E:E,MATCH(B34,LOOKUP_TABLES!A:A,0)),"Not Found")</f>
        <v>12</v>
      </c>
    </row>
    <row r="35" spans="1:12" x14ac:dyDescent="0.3">
      <c r="A35" s="20" t="s">
        <v>155</v>
      </c>
      <c r="B35" s="20" t="s">
        <v>82</v>
      </c>
      <c r="C35" s="20">
        <v>12</v>
      </c>
      <c r="D35" s="21">
        <v>220000</v>
      </c>
      <c r="E35" s="20">
        <v>20</v>
      </c>
      <c r="F35" s="20" t="s">
        <v>131</v>
      </c>
      <c r="G35" s="21">
        <f t="shared" si="4"/>
        <v>2640000</v>
      </c>
      <c r="H35" s="21">
        <f t="shared" si="5"/>
        <v>2112000</v>
      </c>
      <c r="I35" s="21">
        <f t="shared" si="6"/>
        <v>158400</v>
      </c>
      <c r="J35" s="21">
        <f t="shared" si="7"/>
        <v>2270400</v>
      </c>
      <c r="K35" s="20" t="str">
        <f ca="1">IFERROR(_xludf.xlookup(B35,LOOKUP_TABLES!A:A,LOOKUP_TABLES!B:B,"Not Found"),"Error")</f>
        <v>Error</v>
      </c>
      <c r="L35" s="20">
        <f>IFERROR(INDEX(LOOKUP_TABLES!E:E,MATCH(B35,LOOKUP_TABLES!A:A,0)),"Not Found")</f>
        <v>12</v>
      </c>
    </row>
    <row r="36" spans="1:12" x14ac:dyDescent="0.3">
      <c r="A36" s="18" t="s">
        <v>158</v>
      </c>
      <c r="B36" s="18" t="s">
        <v>92</v>
      </c>
      <c r="C36" s="18">
        <v>1</v>
      </c>
      <c r="D36" s="19">
        <v>450000</v>
      </c>
      <c r="E36" s="18">
        <v>10</v>
      </c>
      <c r="F36" s="18" t="s">
        <v>131</v>
      </c>
      <c r="G36" s="19">
        <f t="shared" si="4"/>
        <v>450000</v>
      </c>
      <c r="H36" s="19">
        <f t="shared" si="5"/>
        <v>405000</v>
      </c>
      <c r="I36" s="19">
        <f t="shared" si="6"/>
        <v>30375</v>
      </c>
      <c r="J36" s="19">
        <f t="shared" si="7"/>
        <v>435375</v>
      </c>
      <c r="K36" s="18" t="str">
        <f ca="1">IFERROR(_xludf.xlookup(B36,LOOKUP_TABLES!A:A,LOOKUP_TABLES!B:B,"Not Found"),"Error")</f>
        <v>Error</v>
      </c>
      <c r="L36" s="18">
        <f>IFERROR(INDEX(LOOKUP_TABLES!E:E,MATCH(B36,LOOKUP_TABLES!A:A,0)),"Not Found")</f>
        <v>24</v>
      </c>
    </row>
    <row r="37" spans="1:12" x14ac:dyDescent="0.3">
      <c r="A37" s="20" t="s">
        <v>160</v>
      </c>
      <c r="B37" s="20" t="s">
        <v>41</v>
      </c>
      <c r="C37" s="20">
        <v>13</v>
      </c>
      <c r="D37" s="21">
        <v>35000</v>
      </c>
      <c r="E37" s="20">
        <v>0</v>
      </c>
      <c r="F37" s="20" t="s">
        <v>164</v>
      </c>
      <c r="G37" s="21">
        <f t="shared" si="4"/>
        <v>455000</v>
      </c>
      <c r="H37" s="21">
        <f t="shared" si="5"/>
        <v>455000</v>
      </c>
      <c r="I37" s="21">
        <f t="shared" si="6"/>
        <v>34125</v>
      </c>
      <c r="J37" s="21">
        <f t="shared" si="7"/>
        <v>489125</v>
      </c>
      <c r="K37" s="20" t="str">
        <f ca="1">IFERROR(_xludf.xlookup(B37,LOOKUP_TABLES!A:A,LOOKUP_TABLES!B:B,"Not Found"),"Error")</f>
        <v>Error</v>
      </c>
      <c r="L37" s="20">
        <f>IFERROR(INDEX(LOOKUP_TABLES!E:E,MATCH(B37,LOOKUP_TABLES!A:A,0)),"Not Found")</f>
        <v>6</v>
      </c>
    </row>
    <row r="38" spans="1:12" x14ac:dyDescent="0.3">
      <c r="A38" s="18" t="s">
        <v>166</v>
      </c>
      <c r="B38" s="18" t="s">
        <v>92</v>
      </c>
      <c r="C38" s="18">
        <v>8</v>
      </c>
      <c r="D38" s="19">
        <v>450000</v>
      </c>
      <c r="E38" s="18">
        <v>20</v>
      </c>
      <c r="F38" s="18" t="s">
        <v>51</v>
      </c>
      <c r="G38" s="19">
        <f t="shared" si="4"/>
        <v>3600000</v>
      </c>
      <c r="H38" s="19">
        <f t="shared" si="5"/>
        <v>2880000</v>
      </c>
      <c r="I38" s="19">
        <f t="shared" si="6"/>
        <v>216000</v>
      </c>
      <c r="J38" s="19">
        <f t="shared" si="7"/>
        <v>3096000</v>
      </c>
      <c r="K38" s="18" t="str">
        <f ca="1">IFERROR(_xludf.xlookup(B38,LOOKUP_TABLES!A:A,LOOKUP_TABLES!B:B,"Not Found"),"Error")</f>
        <v>Error</v>
      </c>
      <c r="L38" s="18">
        <f>IFERROR(INDEX(LOOKUP_TABLES!E:E,MATCH(B38,LOOKUP_TABLES!A:A,0)),"Not Found")</f>
        <v>24</v>
      </c>
    </row>
    <row r="39" spans="1:12" x14ac:dyDescent="0.3">
      <c r="A39" s="20" t="s">
        <v>169</v>
      </c>
      <c r="B39" s="20" t="s">
        <v>41</v>
      </c>
      <c r="C39" s="20">
        <v>2</v>
      </c>
      <c r="D39" s="21">
        <v>35000</v>
      </c>
      <c r="E39" s="20">
        <v>5</v>
      </c>
      <c r="F39" s="20" t="s">
        <v>86</v>
      </c>
      <c r="G39" s="21">
        <f t="shared" si="4"/>
        <v>70000</v>
      </c>
      <c r="H39" s="21">
        <f t="shared" si="5"/>
        <v>66500</v>
      </c>
      <c r="I39" s="21">
        <f t="shared" si="6"/>
        <v>4987.5</v>
      </c>
      <c r="J39" s="21">
        <f t="shared" si="7"/>
        <v>71487.5</v>
      </c>
      <c r="K39" s="20" t="str">
        <f ca="1">IFERROR(_xludf.xlookup(B39,LOOKUP_TABLES!A:A,LOOKUP_TABLES!B:B,"Not Found"),"Error")</f>
        <v>Error</v>
      </c>
      <c r="L39" s="20">
        <f>IFERROR(INDEX(LOOKUP_TABLES!E:E,MATCH(B39,LOOKUP_TABLES!A:A,0)),"Not Found")</f>
        <v>6</v>
      </c>
    </row>
    <row r="40" spans="1:12" x14ac:dyDescent="0.3">
      <c r="A40" s="18" t="s">
        <v>171</v>
      </c>
      <c r="B40" s="18" t="s">
        <v>61</v>
      </c>
      <c r="C40" s="18">
        <v>3</v>
      </c>
      <c r="D40" s="19">
        <v>22000</v>
      </c>
      <c r="E40" s="18">
        <v>15</v>
      </c>
      <c r="F40" s="18" t="s">
        <v>174</v>
      </c>
      <c r="G40" s="19">
        <f t="shared" si="4"/>
        <v>66000</v>
      </c>
      <c r="H40" s="19">
        <f t="shared" si="5"/>
        <v>56100</v>
      </c>
      <c r="I40" s="19">
        <f t="shared" si="6"/>
        <v>4207.5</v>
      </c>
      <c r="J40" s="19">
        <f t="shared" si="7"/>
        <v>60307.5</v>
      </c>
      <c r="K40" s="18" t="str">
        <f ca="1">IFERROR(_xludf.xlookup(B40,LOOKUP_TABLES!A:A,LOOKUP_TABLES!B:B,"Not Found"),"Error")</f>
        <v>Error</v>
      </c>
      <c r="L40" s="18">
        <f>IFERROR(INDEX(LOOKUP_TABLES!E:E,MATCH(B40,LOOKUP_TABLES!A:A,0)),"Not Found")</f>
        <v>12</v>
      </c>
    </row>
    <row r="41" spans="1:12" x14ac:dyDescent="0.3">
      <c r="A41" s="20" t="s">
        <v>176</v>
      </c>
      <c r="B41" s="20" t="s">
        <v>82</v>
      </c>
      <c r="C41" s="20">
        <v>7</v>
      </c>
      <c r="D41" s="21">
        <v>220000</v>
      </c>
      <c r="E41" s="20">
        <v>10</v>
      </c>
      <c r="F41" s="20" t="s">
        <v>44</v>
      </c>
      <c r="G41" s="21">
        <f t="shared" si="4"/>
        <v>1540000</v>
      </c>
      <c r="H41" s="21">
        <f t="shared" si="5"/>
        <v>1386000</v>
      </c>
      <c r="I41" s="21">
        <f t="shared" si="6"/>
        <v>103950</v>
      </c>
      <c r="J41" s="21">
        <f t="shared" si="7"/>
        <v>1489950</v>
      </c>
      <c r="K41" s="20" t="str">
        <f ca="1">IFERROR(_xludf.xlookup(B41,LOOKUP_TABLES!A:A,LOOKUP_TABLES!B:B,"Not Found"),"Error")</f>
        <v>Error</v>
      </c>
      <c r="L41" s="20">
        <f>IFERROR(INDEX(LOOKUP_TABLES!E:E,MATCH(B41,LOOKUP_TABLES!A:A,0)),"Not Found")</f>
        <v>12</v>
      </c>
    </row>
    <row r="42" spans="1:12" x14ac:dyDescent="0.3">
      <c r="A42" s="18" t="s">
        <v>178</v>
      </c>
      <c r="B42" s="18" t="s">
        <v>41</v>
      </c>
      <c r="C42" s="18">
        <v>5</v>
      </c>
      <c r="D42" s="19">
        <v>35000</v>
      </c>
      <c r="E42" s="18">
        <v>5</v>
      </c>
      <c r="F42" s="18" t="s">
        <v>51</v>
      </c>
      <c r="G42" s="19">
        <f t="shared" si="4"/>
        <v>175000</v>
      </c>
      <c r="H42" s="19">
        <f t="shared" si="5"/>
        <v>166250</v>
      </c>
      <c r="I42" s="19">
        <f t="shared" si="6"/>
        <v>12468.75</v>
      </c>
      <c r="J42" s="19">
        <f t="shared" si="7"/>
        <v>178718.75</v>
      </c>
      <c r="K42" s="18" t="str">
        <f ca="1">IFERROR(_xludf.xlookup(B42,LOOKUP_TABLES!A:A,LOOKUP_TABLES!B:B,"Not Found"),"Error")</f>
        <v>Error</v>
      </c>
      <c r="L42" s="18">
        <f>IFERROR(INDEX(LOOKUP_TABLES!E:E,MATCH(B42,LOOKUP_TABLES!A:A,0)),"Not Found")</f>
        <v>6</v>
      </c>
    </row>
    <row r="43" spans="1:12" x14ac:dyDescent="0.3">
      <c r="A43" s="20" t="s">
        <v>181</v>
      </c>
      <c r="B43" s="20" t="s">
        <v>57</v>
      </c>
      <c r="C43" s="20">
        <v>17</v>
      </c>
      <c r="D43" s="21">
        <v>28000</v>
      </c>
      <c r="E43" s="20">
        <v>10</v>
      </c>
      <c r="F43" s="20" t="s">
        <v>51</v>
      </c>
      <c r="G43" s="21">
        <f t="shared" si="4"/>
        <v>476000</v>
      </c>
      <c r="H43" s="21">
        <f t="shared" si="5"/>
        <v>428400</v>
      </c>
      <c r="I43" s="21">
        <f t="shared" si="6"/>
        <v>32130</v>
      </c>
      <c r="J43" s="21">
        <f t="shared" si="7"/>
        <v>460530</v>
      </c>
      <c r="K43" s="20" t="str">
        <f ca="1">IFERROR(_xludf.xlookup(B43,LOOKUP_TABLES!A:A,LOOKUP_TABLES!B:B,"Not Found"),"Error")</f>
        <v>Error</v>
      </c>
      <c r="L43" s="20">
        <f>IFERROR(INDEX(LOOKUP_TABLES!E:E,MATCH(B43,LOOKUP_TABLES!A:A,0)),"Not Found")</f>
        <v>12</v>
      </c>
    </row>
    <row r="44" spans="1:12" x14ac:dyDescent="0.3">
      <c r="A44" s="18" t="s">
        <v>183</v>
      </c>
      <c r="B44" s="18" t="s">
        <v>92</v>
      </c>
      <c r="C44" s="18">
        <v>10</v>
      </c>
      <c r="D44" s="19">
        <v>450000</v>
      </c>
      <c r="E44" s="18">
        <v>20</v>
      </c>
      <c r="F44" s="18" t="s">
        <v>51</v>
      </c>
      <c r="G44" s="19">
        <f t="shared" si="4"/>
        <v>4500000</v>
      </c>
      <c r="H44" s="19">
        <f t="shared" si="5"/>
        <v>3600000</v>
      </c>
      <c r="I44" s="19">
        <f t="shared" si="6"/>
        <v>270000</v>
      </c>
      <c r="J44" s="19">
        <f t="shared" si="7"/>
        <v>3870000</v>
      </c>
      <c r="K44" s="18" t="str">
        <f ca="1">IFERROR(_xludf.xlookup(B44,LOOKUP_TABLES!A:A,LOOKUP_TABLES!B:B,"Not Found"),"Error")</f>
        <v>Error</v>
      </c>
      <c r="L44" s="18">
        <f>IFERROR(INDEX(LOOKUP_TABLES!E:E,MATCH(B44,LOOKUP_TABLES!A:A,0)),"Not Found")</f>
        <v>24</v>
      </c>
    </row>
    <row r="45" spans="1:12" x14ac:dyDescent="0.3">
      <c r="A45" s="20" t="s">
        <v>185</v>
      </c>
      <c r="B45" s="20" t="s">
        <v>76</v>
      </c>
      <c r="C45" s="20">
        <v>3</v>
      </c>
      <c r="D45" s="21">
        <v>180000</v>
      </c>
      <c r="E45" s="20">
        <v>10</v>
      </c>
      <c r="F45" s="20" t="s">
        <v>131</v>
      </c>
      <c r="G45" s="21">
        <f t="shared" si="4"/>
        <v>540000</v>
      </c>
      <c r="H45" s="21">
        <f t="shared" si="5"/>
        <v>486000</v>
      </c>
      <c r="I45" s="21">
        <f t="shared" si="6"/>
        <v>36450</v>
      </c>
      <c r="J45" s="21">
        <f t="shared" si="7"/>
        <v>522450</v>
      </c>
      <c r="K45" s="20" t="str">
        <f ca="1">IFERROR(_xludf.xlookup(B45,LOOKUP_TABLES!A:A,LOOKUP_TABLES!B:B,"Not Found"),"Error")</f>
        <v>Error</v>
      </c>
      <c r="L45" s="20">
        <f>IFERROR(INDEX(LOOKUP_TABLES!E:E,MATCH(B45,LOOKUP_TABLES!A:A,0)),"Not Found")</f>
        <v>12</v>
      </c>
    </row>
    <row r="46" spans="1:12" x14ac:dyDescent="0.3">
      <c r="A46" s="18" t="s">
        <v>187</v>
      </c>
      <c r="B46" s="18" t="s">
        <v>61</v>
      </c>
      <c r="C46" s="18">
        <v>10</v>
      </c>
      <c r="D46" s="19">
        <v>22000</v>
      </c>
      <c r="E46" s="18">
        <v>0</v>
      </c>
      <c r="F46" s="18" t="s">
        <v>51</v>
      </c>
      <c r="G46" s="19">
        <f t="shared" si="4"/>
        <v>220000</v>
      </c>
      <c r="H46" s="19">
        <f t="shared" si="5"/>
        <v>220000</v>
      </c>
      <c r="I46" s="19">
        <f t="shared" si="6"/>
        <v>16500</v>
      </c>
      <c r="J46" s="19">
        <f t="shared" si="7"/>
        <v>236500</v>
      </c>
      <c r="K46" s="18" t="str">
        <f ca="1">IFERROR(_xludf.xlookup(B46,LOOKUP_TABLES!A:A,LOOKUP_TABLES!B:B,"Not Found"),"Error")</f>
        <v>Error</v>
      </c>
      <c r="L46" s="18">
        <f>IFERROR(INDEX(LOOKUP_TABLES!E:E,MATCH(B46,LOOKUP_TABLES!A:A,0)),"Not Found")</f>
        <v>12</v>
      </c>
    </row>
    <row r="47" spans="1:12" x14ac:dyDescent="0.3">
      <c r="A47" s="20" t="s">
        <v>189</v>
      </c>
      <c r="B47" s="20" t="s">
        <v>50</v>
      </c>
      <c r="C47" s="20">
        <v>18</v>
      </c>
      <c r="D47" s="21">
        <v>18000</v>
      </c>
      <c r="E47" s="20">
        <v>0</v>
      </c>
      <c r="F47" s="20" t="s">
        <v>51</v>
      </c>
      <c r="G47" s="21">
        <f t="shared" si="4"/>
        <v>324000</v>
      </c>
      <c r="H47" s="21">
        <f t="shared" si="5"/>
        <v>324000</v>
      </c>
      <c r="I47" s="21">
        <f t="shared" si="6"/>
        <v>24300</v>
      </c>
      <c r="J47" s="21">
        <f t="shared" si="7"/>
        <v>348300</v>
      </c>
      <c r="K47" s="20" t="str">
        <f ca="1">IFERROR(_xludf.xlookup(B47,LOOKUP_TABLES!A:A,LOOKUP_TABLES!B:B,"Not Found"),"Error")</f>
        <v>Error</v>
      </c>
      <c r="L47" s="20">
        <f>IFERROR(INDEX(LOOKUP_TABLES!E:E,MATCH(B47,LOOKUP_TABLES!A:A,0)),"Not Found")</f>
        <v>12</v>
      </c>
    </row>
    <row r="48" spans="1:12" x14ac:dyDescent="0.3">
      <c r="A48" s="18" t="s">
        <v>191</v>
      </c>
      <c r="B48" s="18" t="s">
        <v>76</v>
      </c>
      <c r="C48" s="18">
        <v>8</v>
      </c>
      <c r="D48" s="19">
        <v>180000</v>
      </c>
      <c r="E48" s="18">
        <v>20</v>
      </c>
      <c r="F48" s="18" t="s">
        <v>86</v>
      </c>
      <c r="G48" s="19">
        <f t="shared" si="4"/>
        <v>1440000</v>
      </c>
      <c r="H48" s="19">
        <f t="shared" si="5"/>
        <v>1152000</v>
      </c>
      <c r="I48" s="19">
        <f t="shared" si="6"/>
        <v>86400</v>
      </c>
      <c r="J48" s="19">
        <f t="shared" si="7"/>
        <v>1238400</v>
      </c>
      <c r="K48" s="18" t="str">
        <f ca="1">IFERROR(_xludf.xlookup(B48,LOOKUP_TABLES!A:A,LOOKUP_TABLES!B:B,"Not Found"),"Error")</f>
        <v>Error</v>
      </c>
      <c r="L48" s="18">
        <f>IFERROR(INDEX(LOOKUP_TABLES!E:E,MATCH(B48,LOOKUP_TABLES!A:A,0)),"Not Found")</f>
        <v>12</v>
      </c>
    </row>
    <row r="49" spans="1:12" x14ac:dyDescent="0.3">
      <c r="A49" s="20" t="s">
        <v>193</v>
      </c>
      <c r="B49" s="20" t="s">
        <v>99</v>
      </c>
      <c r="C49" s="20">
        <v>9</v>
      </c>
      <c r="D49" s="21">
        <v>95000</v>
      </c>
      <c r="E49" s="20">
        <v>10</v>
      </c>
      <c r="F49" s="20" t="s">
        <v>174</v>
      </c>
      <c r="G49" s="21">
        <f t="shared" si="4"/>
        <v>855000</v>
      </c>
      <c r="H49" s="21">
        <f t="shared" si="5"/>
        <v>769500</v>
      </c>
      <c r="I49" s="21">
        <f t="shared" si="6"/>
        <v>57712.5</v>
      </c>
      <c r="J49" s="21">
        <f t="shared" si="7"/>
        <v>827212.5</v>
      </c>
      <c r="K49" s="20" t="str">
        <f ca="1">IFERROR(_xludf.xlookup(B49,LOOKUP_TABLES!A:A,LOOKUP_TABLES!B:B,"Not Found"),"Error")</f>
        <v>Error</v>
      </c>
      <c r="L49" s="20">
        <f>IFERROR(INDEX(LOOKUP_TABLES!E:E,MATCH(B49,LOOKUP_TABLES!A:A,0)),"Not Found")</f>
        <v>24</v>
      </c>
    </row>
    <row r="50" spans="1:12" x14ac:dyDescent="0.3">
      <c r="A50" s="18" t="s">
        <v>198</v>
      </c>
      <c r="B50" s="18" t="s">
        <v>57</v>
      </c>
      <c r="C50" s="18">
        <v>5</v>
      </c>
      <c r="D50" s="19">
        <v>28000</v>
      </c>
      <c r="E50" s="18">
        <v>0</v>
      </c>
      <c r="F50" s="18" t="s">
        <v>51</v>
      </c>
      <c r="G50" s="19">
        <f t="shared" si="4"/>
        <v>140000</v>
      </c>
      <c r="H50" s="19">
        <f t="shared" si="5"/>
        <v>140000</v>
      </c>
      <c r="I50" s="19">
        <f t="shared" si="6"/>
        <v>10500</v>
      </c>
      <c r="J50" s="19">
        <f t="shared" si="7"/>
        <v>150500</v>
      </c>
      <c r="K50" s="18" t="str">
        <f ca="1">IFERROR(_xludf.xlookup(B50,LOOKUP_TABLES!A:A,LOOKUP_TABLES!B:B,"Not Found"),"Error")</f>
        <v>Error</v>
      </c>
      <c r="L50" s="18">
        <f>IFERROR(INDEX(LOOKUP_TABLES!E:E,MATCH(B50,LOOKUP_TABLES!A:A,0)),"Not Found")</f>
        <v>12</v>
      </c>
    </row>
    <row r="51" spans="1:12" x14ac:dyDescent="0.3">
      <c r="A51" s="20" t="s">
        <v>200</v>
      </c>
      <c r="B51" s="20" t="s">
        <v>92</v>
      </c>
      <c r="C51" s="20">
        <v>14</v>
      </c>
      <c r="D51" s="21">
        <v>450000</v>
      </c>
      <c r="E51" s="20">
        <v>0</v>
      </c>
      <c r="F51" s="20" t="s">
        <v>86</v>
      </c>
      <c r="G51" s="21">
        <f t="shared" si="4"/>
        <v>6300000</v>
      </c>
      <c r="H51" s="21">
        <f t="shared" si="5"/>
        <v>6300000</v>
      </c>
      <c r="I51" s="21">
        <f t="shared" si="6"/>
        <v>472500</v>
      </c>
      <c r="J51" s="21">
        <f t="shared" si="7"/>
        <v>6772500</v>
      </c>
      <c r="K51" s="20" t="str">
        <f ca="1">IFERROR(_xludf.xlookup(B51,LOOKUP_TABLES!A:A,LOOKUP_TABLES!B:B,"Not Found"),"Error")</f>
        <v>Error</v>
      </c>
      <c r="L51" s="20">
        <f>IFERROR(INDEX(LOOKUP_TABLES!E:E,MATCH(B51,LOOKUP_TABLES!A:A,0)),"Not Found")</f>
        <v>24</v>
      </c>
    </row>
    <row r="52" spans="1:12" x14ac:dyDescent="0.3">
      <c r="A52" s="22" t="s">
        <v>980</v>
      </c>
      <c r="C52" s="23">
        <f>SUM(C2:C51)</f>
        <v>525</v>
      </c>
      <c r="G52" s="23">
        <f>SUM(G2:G51)</f>
        <v>87558000</v>
      </c>
      <c r="H52" s="23">
        <f>SUM(H2:H51)</f>
        <v>79430300</v>
      </c>
      <c r="I52" s="23">
        <f>SUM(I2:I51)</f>
        <v>5957272.5</v>
      </c>
      <c r="J52" s="23">
        <f>SUM(J2:J51)</f>
        <v>85387572.5</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 � � � � � � � � � � � � � � � � � � � � � � � � 
</file>

<file path=customXml/item4.xml>��
</file>

<file path=customXml/item5.xml>��
</file>

<file path=customXml/item6.xml>��
</file>

<file path=customXml/item7.xml>��
</file>

<file path=customXml/item8.xml>��
</file>

<file path=customXml/item9.xml>��� 
</file>

<file path=customXml/item10.xml>��
</file>

<file path=customXml/item11.xml>��� �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2A89BA3C-3421-45A0-ABCF-92D4D0BFC4D4}">
  <ds:schemaRefs/>
</ds:datastoreItem>
</file>

<file path=customXml/itemProps2.xml><?xml version="1.0" encoding="utf-8"?>
<ds:datastoreItem xmlns:ds="http://schemas.openxmlformats.org/officeDocument/2006/customXml" ds:itemID="{8DEEE948-63EB-400F-9A8F-AF3FA2B66A75}">
  <ds:schemaRefs/>
</ds:datastoreItem>
</file>

<file path=customXml/itemProps3.xml><?xml version="1.0" encoding="utf-8"?>
<ds:datastoreItem xmlns:ds="http://schemas.openxmlformats.org/officeDocument/2006/customXml" ds:itemID="{53C4397F-8F50-4EDD-90C8-7ABD877B44E2}">
  <ds:schemaRefs/>
</ds:datastoreItem>
</file>

<file path=customXml/itemProps4.xml><?xml version="1.0" encoding="utf-8"?>
<ds:datastoreItem xmlns:ds="http://schemas.openxmlformats.org/officeDocument/2006/customXml" ds:itemID="{B73111DC-1EA3-4F85-9A31-C2BE128FBAD5}">
  <ds:schemaRefs/>
</ds:datastoreItem>
</file>

<file path=customXml/itemProps5.xml><?xml version="1.0" encoding="utf-8"?>
<ds:datastoreItem xmlns:ds="http://schemas.openxmlformats.org/officeDocument/2006/customXml" ds:itemID="{601429A6-686F-401C-8292-9922FDF281C5}">
  <ds:schemaRefs/>
</ds:datastoreItem>
</file>

<file path=customXml/itemProps6.xml><?xml version="1.0" encoding="utf-8"?>
<ds:datastoreItem xmlns:ds="http://schemas.openxmlformats.org/officeDocument/2006/customXml" ds:itemID="{9E97BA5D-1191-4FF3-A12A-368D6F1FCC15}">
  <ds:schemaRefs/>
</ds:datastoreItem>
</file>

<file path=customXml/itemProps7.xml><?xml version="1.0" encoding="utf-8"?>
<ds:datastoreItem xmlns:ds="http://schemas.openxmlformats.org/officeDocument/2006/customXml" ds:itemID="{5B860EC2-41F9-46D2-8FC3-FF03CDF4F956}">
  <ds:schemaRefs/>
</ds:datastoreItem>
</file>

<file path=customXml/itemProps8.xml><?xml version="1.0" encoding="utf-8"?>
<ds:datastoreItem xmlns:ds="http://schemas.openxmlformats.org/officeDocument/2006/customXml" ds:itemID="{4E41EC11-ED1D-4CB2-9AB3-4A92904D5C8A}">
  <ds:schemaRefs/>
</ds:datastoreItem>
</file>

<file path=customXml/itemProps9.xml><?xml version="1.0" encoding="utf-8"?>
<ds:datastoreItem xmlns:ds="http://schemas.openxmlformats.org/officeDocument/2006/customXml" ds:itemID="{4E082680-0892-4045-9855-1B1F242D1B1D}">
  <ds:schemaRefs/>
</ds:datastoreItem>
</file>

<file path=customXml/itemProps10.xml><?xml version="1.0" encoding="utf-8"?>
<ds:datastoreItem xmlns:ds="http://schemas.openxmlformats.org/officeDocument/2006/customXml" ds:itemID="{80A9E1D1-0039-4408-B7A5-3769D39C0311}">
  <ds:schemaRefs/>
</ds:datastoreItem>
</file>

<file path=customXml/itemProps11.xml><?xml version="1.0" encoding="utf-8"?>
<ds:datastoreItem xmlns:ds="http://schemas.openxmlformats.org/officeDocument/2006/customXml" ds:itemID="{AA001FB4-FB30-4DC7-9E93-41751A976C29}">
  <ds:schemaRefs/>
</ds:datastoreItem>
</file>

<file path=customXml/itemProps12.xml><?xml version="1.0" encoding="utf-8"?>
<ds:datastoreItem xmlns:ds="http://schemas.openxmlformats.org/officeDocument/2006/customXml" ds:itemID="{96FB8CA3-62CC-4F30-94B4-2E5AC324B777}">
  <ds:schemaRefs/>
</ds:datastoreItem>
</file>

<file path=customXml/itemProps13.xml><?xml version="1.0" encoding="utf-8"?>
<ds:datastoreItem xmlns:ds="http://schemas.openxmlformats.org/officeDocument/2006/customXml" ds:itemID="{F6BD18AC-3F82-40B9-8837-A983468C87AD}">
  <ds:schemaRefs/>
</ds:datastoreItem>
</file>

<file path=customXml/itemProps14.xml><?xml version="1.0" encoding="utf-8"?>
<ds:datastoreItem xmlns:ds="http://schemas.openxmlformats.org/officeDocument/2006/customXml" ds:itemID="{4A153354-6E2F-438C-8654-716A1F496A9C}">
  <ds:schemaRefs/>
</ds:datastoreItem>
</file>

<file path=customXml/itemProps15.xml><?xml version="1.0" encoding="utf-8"?>
<ds:datastoreItem xmlns:ds="http://schemas.openxmlformats.org/officeDocument/2006/customXml" ds:itemID="{131ACC8B-F86C-46B9-853A-F2F0C942254B}">
  <ds:schemaRefs/>
</ds:datastoreItem>
</file>

<file path=customXml/itemProps16.xml><?xml version="1.0" encoding="utf-8"?>
<ds:datastoreItem xmlns:ds="http://schemas.openxmlformats.org/officeDocument/2006/customXml" ds:itemID="{72DACFA2-2815-48B0-A70E-DE7244750476}">
  <ds:schemaRefs/>
</ds:datastoreItem>
</file>

<file path=customXml/itemProps17.xml><?xml version="1.0" encoding="utf-8"?>
<ds:datastoreItem xmlns:ds="http://schemas.openxmlformats.org/officeDocument/2006/customXml" ds:itemID="{81BC1A5E-4A76-4E93-BF24-3C3E5BE32A88}">
  <ds:schemaRefs/>
</ds:datastoreItem>
</file>

<file path=customXml/itemProps18.xml><?xml version="1.0" encoding="utf-8"?>
<ds:datastoreItem xmlns:ds="http://schemas.openxmlformats.org/officeDocument/2006/customXml" ds:itemID="{1C948085-F32C-4EDB-8E32-07F638D53CCB}">
  <ds:schemaRefs/>
</ds:datastoreItem>
</file>

<file path=customXml/itemProps19.xml><?xml version="1.0" encoding="utf-8"?>
<ds:datastoreItem xmlns:ds="http://schemas.openxmlformats.org/officeDocument/2006/customXml" ds:itemID="{4DDDD9FD-4D89-48C2-A24E-F5452A4B24B7}">
  <ds:schemaRefs/>
</ds:datastoreItem>
</file>

<file path=customXml/itemProps20.xml><?xml version="1.0" encoding="utf-8"?>
<ds:datastoreItem xmlns:ds="http://schemas.openxmlformats.org/officeDocument/2006/customXml" ds:itemID="{2EC92FDE-7696-4BCA-97DE-14946B88BC1A}">
  <ds:schemaRefs/>
</ds:datastoreItem>
</file>

<file path=customXml/itemProps21.xml><?xml version="1.0" encoding="utf-8"?>
<ds:datastoreItem xmlns:ds="http://schemas.openxmlformats.org/officeDocument/2006/customXml" ds:itemID="{AE23ACCA-8A8F-42C3-AB69-D635D1568F8D}">
  <ds:schemaRefs/>
</ds:datastoreItem>
</file>

<file path=customXml/itemProps22.xml><?xml version="1.0" encoding="utf-8"?>
<ds:datastoreItem xmlns:ds="http://schemas.openxmlformats.org/officeDocument/2006/customXml" ds:itemID="{D6EA7D06-11BB-4765-A534-6872EB331F57}">
  <ds:schemaRefs/>
</ds:datastoreItem>
</file>

<file path=customXml/itemProps23.xml><?xml version="1.0" encoding="utf-8"?>
<ds:datastoreItem xmlns:ds="http://schemas.openxmlformats.org/officeDocument/2006/customXml" ds:itemID="{A7EDF0FF-F898-4E8C-AFDF-5679877B6E3D}">
  <ds:schemaRefs/>
</ds:datastoreItem>
</file>

<file path=customXml/itemProps24.xml><?xml version="1.0" encoding="utf-8"?>
<ds:datastoreItem xmlns:ds="http://schemas.openxmlformats.org/officeDocument/2006/customXml" ds:itemID="{4A8F88EF-5411-45A8-8B13-E753E3DE7592}">
  <ds:schemaRefs/>
</ds:datastoreItem>
</file>

<file path=customXml/itemProps25.xml><?xml version="1.0" encoding="utf-8"?>
<ds:datastoreItem xmlns:ds="http://schemas.openxmlformats.org/officeDocument/2006/customXml" ds:itemID="{29A7B593-820A-4EAB-BD33-07AEC159BE63}">
  <ds:schemaRefs/>
</ds:datastoreItem>
</file>

<file path=customXml/itemProps26.xml><?xml version="1.0" encoding="utf-8"?>
<ds:datastoreItem xmlns:ds="http://schemas.openxmlformats.org/officeDocument/2006/customXml" ds:itemID="{0CA3D785-A219-4DF6-89DF-4DBE475AA5E3}">
  <ds:schemaRefs/>
</ds:datastoreItem>
</file>

<file path=customXml/itemProps27.xml><?xml version="1.0" encoding="utf-8"?>
<ds:datastoreItem xmlns:ds="http://schemas.openxmlformats.org/officeDocument/2006/customXml" ds:itemID="{03E76EA7-3045-4046-9FB2-F0C62DA9F1C8}">
  <ds:schemaRefs/>
</ds:datastoreItem>
</file>

<file path=customXml/itemProps28.xml><?xml version="1.0" encoding="utf-8"?>
<ds:datastoreItem xmlns:ds="http://schemas.openxmlformats.org/officeDocument/2006/customXml" ds:itemID="{A406BB50-8E0D-4031-BA5E-D134325E58DA}">
  <ds:schemaRefs/>
</ds:datastoreItem>
</file>

<file path=customXml/itemProps29.xml><?xml version="1.0" encoding="utf-8"?>
<ds:datastoreItem xmlns:ds="http://schemas.openxmlformats.org/officeDocument/2006/customXml" ds:itemID="{61EC5417-2D40-4067-A3D2-17AE46F86F57}">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Analysis</vt:lpstr>
      <vt:lpstr>Pivot Table</vt:lpstr>
      <vt:lpstr>Clean Raw Data</vt:lpstr>
      <vt:lpstr>Clean Calc Table</vt:lpstr>
      <vt:lpstr>📋 TASK_BRIEF</vt:lpstr>
      <vt:lpstr>LOOKUP_TABLES</vt:lpstr>
      <vt:lpstr>RAW_DATA</vt:lpstr>
      <vt:lpstr>CALC_TABLE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Prosper Ogheghe</cp:lastModifiedBy>
  <cp:revision>0</cp:revision>
  <dcterms:created xsi:type="dcterms:W3CDTF">2026-03-07T10:15:59Z</dcterms:created>
  <dcterms:modified xsi:type="dcterms:W3CDTF">2026-03-11T08:58:20Z</dcterms:modified>
  <dc:language>en-US</dc:language>
</cp:coreProperties>
</file>